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37a9c585a379335f/Documentos/"/>
    </mc:Choice>
  </mc:AlternateContent>
  <xr:revisionPtr revIDLastSave="0" documentId="8_{6D64BFAC-0A6B-4106-84A5-25E02766C561}" xr6:coauthVersionLast="47" xr6:coauthVersionMax="47" xr10:uidLastSave="{00000000-0000-0000-0000-000000000000}"/>
  <bookViews>
    <workbookView xWindow="-108" yWindow="-108" windowWidth="23256" windowHeight="12456" firstSheet="4" activeTab="4" xr2:uid="{C9778AF5-57EE-4BD1-9C5F-EB72064C5E1B}"/>
  </bookViews>
  <sheets>
    <sheet name="FV 2023" sheetId="1" r:id="rId1"/>
    <sheet name="FV 2023 (2)" sheetId="8" r:id="rId2"/>
    <sheet name="FV 2023 (3)" sheetId="9" r:id="rId3"/>
    <sheet name="FV 2024" sheetId="7" r:id="rId4"/>
    <sheet name="FV 2025" sheetId="10" r:id="rId5"/>
    <sheet name="Hoja1" sheetId="6" state="hidden" r:id="rId6"/>
    <sheet name="Hoja2" sheetId="5" state="hidden" r:id="rId7"/>
    <sheet name="CLIENTES" sheetId="2" r:id="rId8"/>
  </sheets>
  <definedNames>
    <definedName name="_xlnm._FilterDatabase" localSheetId="0" hidden="1">'FV 2023'!$A$4:$T$141</definedName>
    <definedName name="_xlnm._FilterDatabase" localSheetId="1" hidden="1">'FV 2023 (2)'!$A$4:$T$131</definedName>
    <definedName name="_xlnm._FilterDatabase" localSheetId="2" hidden="1">'FV 2023 (3)'!$A$4:$T$135</definedName>
    <definedName name="_xlnm._FilterDatabase" localSheetId="6" hidden="1">Hoja2!$A$1:$M$141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" i="10" l="1"/>
  <c r="R50" i="10"/>
  <c r="Q50" i="10"/>
  <c r="P50" i="10"/>
  <c r="N50" i="10"/>
  <c r="M50" i="10"/>
  <c r="L50" i="10"/>
  <c r="K50" i="10"/>
  <c r="J50" i="10"/>
  <c r="G50" i="10"/>
  <c r="H49" i="10"/>
  <c r="T47" i="10"/>
  <c r="R47" i="10"/>
  <c r="Q47" i="10"/>
  <c r="P47" i="10"/>
  <c r="N47" i="10"/>
  <c r="M47" i="10"/>
  <c r="L47" i="10"/>
  <c r="K47" i="10"/>
  <c r="J47" i="10"/>
  <c r="G47" i="10"/>
  <c r="H17" i="10"/>
  <c r="L17" i="10" s="1"/>
  <c r="N17" i="10" s="1"/>
  <c r="I17" i="10"/>
  <c r="O17" i="10"/>
  <c r="S17" i="10"/>
  <c r="H18" i="10"/>
  <c r="L18" i="10" s="1"/>
  <c r="N18" i="10" s="1"/>
  <c r="I18" i="10"/>
  <c r="O18" i="10"/>
  <c r="S18" i="10"/>
  <c r="H19" i="10"/>
  <c r="L19" i="10" s="1"/>
  <c r="N19" i="10" s="1"/>
  <c r="I19" i="10"/>
  <c r="O19" i="10"/>
  <c r="S19" i="10"/>
  <c r="H20" i="10"/>
  <c r="L20" i="10" s="1"/>
  <c r="N20" i="10" s="1"/>
  <c r="I20" i="10"/>
  <c r="O20" i="10"/>
  <c r="S20" i="10"/>
  <c r="H21" i="10"/>
  <c r="L21" i="10" s="1"/>
  <c r="N21" i="10" s="1"/>
  <c r="I21" i="10"/>
  <c r="O21" i="10"/>
  <c r="S21" i="10"/>
  <c r="H22" i="10"/>
  <c r="L22" i="10" s="1"/>
  <c r="N22" i="10" s="1"/>
  <c r="I22" i="10"/>
  <c r="O22" i="10"/>
  <c r="S22" i="10"/>
  <c r="H23" i="10"/>
  <c r="L23" i="10" s="1"/>
  <c r="N23" i="10" s="1"/>
  <c r="I23" i="10"/>
  <c r="O23" i="10"/>
  <c r="S23" i="10"/>
  <c r="H24" i="10"/>
  <c r="L24" i="10" s="1"/>
  <c r="N24" i="10" s="1"/>
  <c r="I24" i="10"/>
  <c r="O24" i="10"/>
  <c r="S24" i="10"/>
  <c r="H25" i="10"/>
  <c r="L25" i="10" s="1"/>
  <c r="N25" i="10" s="1"/>
  <c r="I25" i="10"/>
  <c r="O25" i="10"/>
  <c r="S25" i="10"/>
  <c r="H26" i="10"/>
  <c r="L26" i="10" s="1"/>
  <c r="N26" i="10" s="1"/>
  <c r="I26" i="10"/>
  <c r="O26" i="10"/>
  <c r="S26" i="10"/>
  <c r="H27" i="10"/>
  <c r="L27" i="10" s="1"/>
  <c r="N27" i="10" s="1"/>
  <c r="I27" i="10"/>
  <c r="O27" i="10"/>
  <c r="S27" i="10"/>
  <c r="T44" i="10"/>
  <c r="R44" i="10"/>
  <c r="Q44" i="10"/>
  <c r="P44" i="10"/>
  <c r="N44" i="10"/>
  <c r="M44" i="10"/>
  <c r="K44" i="10"/>
  <c r="J44" i="10"/>
  <c r="G44" i="10"/>
  <c r="H43" i="10"/>
  <c r="H42" i="10"/>
  <c r="I42" i="10" s="1"/>
  <c r="O42" i="10" s="1"/>
  <c r="S42" i="10" s="1"/>
  <c r="H41" i="10"/>
  <c r="I41" i="10" s="1"/>
  <c r="O41" i="10" s="1"/>
  <c r="S41" i="10" s="1"/>
  <c r="H40" i="10"/>
  <c r="I40" i="10" s="1"/>
  <c r="O40" i="10" s="1"/>
  <c r="S40" i="10" s="1"/>
  <c r="H35" i="10"/>
  <c r="H34" i="10"/>
  <c r="H33" i="10"/>
  <c r="H32" i="10"/>
  <c r="G38" i="10"/>
  <c r="H31" i="10"/>
  <c r="H30" i="10"/>
  <c r="H29" i="10"/>
  <c r="H28" i="10"/>
  <c r="T38" i="10"/>
  <c r="R38" i="10"/>
  <c r="Q38" i="10"/>
  <c r="P38" i="10"/>
  <c r="M38" i="10"/>
  <c r="K38" i="10"/>
  <c r="J38" i="10"/>
  <c r="H37" i="10"/>
  <c r="L37" i="10" s="1"/>
  <c r="N37" i="10" s="1"/>
  <c r="H36" i="10"/>
  <c r="L36" i="10" s="1"/>
  <c r="N36" i="10" s="1"/>
  <c r="H16" i="10"/>
  <c r="L16" i="10" s="1"/>
  <c r="N16" i="10" s="1"/>
  <c r="H12" i="10"/>
  <c r="T14" i="10"/>
  <c r="R14" i="10"/>
  <c r="Q14" i="10"/>
  <c r="P14" i="10"/>
  <c r="M14" i="10"/>
  <c r="K14" i="10"/>
  <c r="J14" i="10"/>
  <c r="G14" i="10"/>
  <c r="H13" i="10"/>
  <c r="H11" i="10"/>
  <c r="T9" i="10"/>
  <c r="R9" i="10"/>
  <c r="Q9" i="10"/>
  <c r="P9" i="10"/>
  <c r="M9" i="10"/>
  <c r="G9" i="10"/>
  <c r="K9" i="10"/>
  <c r="R6" i="10"/>
  <c r="Q6" i="10"/>
  <c r="P6" i="10"/>
  <c r="M6" i="10"/>
  <c r="G6" i="10"/>
  <c r="K6" i="10"/>
  <c r="S101" i="7"/>
  <c r="O101" i="7"/>
  <c r="N101" i="7"/>
  <c r="L101" i="7"/>
  <c r="L100" i="7"/>
  <c r="N100" i="7" s="1"/>
  <c r="O100" i="7" s="1"/>
  <c r="S100" i="7" s="1"/>
  <c r="L99" i="7"/>
  <c r="N99" i="7" s="1"/>
  <c r="O99" i="7" s="1"/>
  <c r="S99" i="7" s="1"/>
  <c r="L98" i="7"/>
  <c r="N98" i="7" s="1"/>
  <c r="O98" i="7" s="1"/>
  <c r="S98" i="7" s="1"/>
  <c r="L97" i="7"/>
  <c r="N97" i="7" s="1"/>
  <c r="O97" i="7" s="1"/>
  <c r="S97" i="7" s="1"/>
  <c r="L96" i="7"/>
  <c r="N96" i="7" s="1"/>
  <c r="O96" i="7" s="1"/>
  <c r="S96" i="7" s="1"/>
  <c r="L95" i="7"/>
  <c r="N95" i="7" s="1"/>
  <c r="O95" i="7" s="1"/>
  <c r="S95" i="7" s="1"/>
  <c r="L94" i="7"/>
  <c r="N94" i="7" s="1"/>
  <c r="O94" i="7" s="1"/>
  <c r="S94" i="7" s="1"/>
  <c r="L93" i="7"/>
  <c r="N93" i="7" s="1"/>
  <c r="O93" i="7" s="1"/>
  <c r="S93" i="7" s="1"/>
  <c r="L92" i="7"/>
  <c r="N92" i="7" s="1"/>
  <c r="O92" i="7" s="1"/>
  <c r="S92" i="7" s="1"/>
  <c r="L91" i="7"/>
  <c r="N91" i="7" s="1"/>
  <c r="O91" i="7" s="1"/>
  <c r="S91" i="7" s="1"/>
  <c r="L90" i="7"/>
  <c r="N90" i="7" s="1"/>
  <c r="O90" i="7" s="1"/>
  <c r="S90" i="7" s="1"/>
  <c r="L89" i="7"/>
  <c r="N89" i="7" s="1"/>
  <c r="O89" i="7" s="1"/>
  <c r="S89" i="7" s="1"/>
  <c r="I102" i="7"/>
  <c r="H102" i="7"/>
  <c r="G102" i="7"/>
  <c r="I72" i="7"/>
  <c r="H72" i="7"/>
  <c r="G72" i="7"/>
  <c r="I69" i="7"/>
  <c r="G69" i="7"/>
  <c r="R65" i="7"/>
  <c r="I65" i="7"/>
  <c r="H65" i="7"/>
  <c r="G65" i="7"/>
  <c r="H50" i="7"/>
  <c r="R50" i="7"/>
  <c r="G50" i="7"/>
  <c r="L88" i="7"/>
  <c r="N88" i="7" s="1"/>
  <c r="O88" i="7" s="1"/>
  <c r="S88" i="7" s="1"/>
  <c r="L87" i="7"/>
  <c r="N87" i="7" s="1"/>
  <c r="O87" i="7" s="1"/>
  <c r="S87" i="7" s="1"/>
  <c r="L86" i="7"/>
  <c r="N86" i="7" s="1"/>
  <c r="O86" i="7" s="1"/>
  <c r="S86" i="7" s="1"/>
  <c r="L85" i="7"/>
  <c r="N85" i="7" s="1"/>
  <c r="O85" i="7" s="1"/>
  <c r="S85" i="7" s="1"/>
  <c r="L84" i="7"/>
  <c r="N84" i="7" s="1"/>
  <c r="O84" i="7" s="1"/>
  <c r="S84" i="7" s="1"/>
  <c r="L83" i="7"/>
  <c r="N83" i="7" s="1"/>
  <c r="O83" i="7" s="1"/>
  <c r="S83" i="7" s="1"/>
  <c r="L82" i="7"/>
  <c r="N82" i="7" s="1"/>
  <c r="O82" i="7" s="1"/>
  <c r="S82" i="7" s="1"/>
  <c r="L81" i="7"/>
  <c r="N81" i="7" s="1"/>
  <c r="O81" i="7" s="1"/>
  <c r="S81" i="7" s="1"/>
  <c r="L80" i="7"/>
  <c r="N80" i="7" s="1"/>
  <c r="O80" i="7" s="1"/>
  <c r="S80" i="7" s="1"/>
  <c r="L79" i="7"/>
  <c r="N79" i="7" s="1"/>
  <c r="O79" i="7" s="1"/>
  <c r="S79" i="7" s="1"/>
  <c r="L78" i="7"/>
  <c r="N78" i="7" s="1"/>
  <c r="O78" i="7" s="1"/>
  <c r="S78" i="7" s="1"/>
  <c r="L77" i="7"/>
  <c r="N77" i="7" s="1"/>
  <c r="O77" i="7" s="1"/>
  <c r="S77" i="7" s="1"/>
  <c r="L76" i="7"/>
  <c r="N76" i="7" s="1"/>
  <c r="O76" i="7" s="1"/>
  <c r="S76" i="7" s="1"/>
  <c r="L75" i="7"/>
  <c r="N75" i="7" s="1"/>
  <c r="O75" i="7" s="1"/>
  <c r="S75" i="7" s="1"/>
  <c r="T102" i="7"/>
  <c r="R102" i="7"/>
  <c r="Q102" i="7"/>
  <c r="P102" i="7"/>
  <c r="M102" i="7"/>
  <c r="K102" i="7"/>
  <c r="J102" i="7"/>
  <c r="L74" i="7"/>
  <c r="L102" i="7" s="1"/>
  <c r="T72" i="7"/>
  <c r="R72" i="7"/>
  <c r="Q72" i="7"/>
  <c r="P72" i="7"/>
  <c r="M72" i="7"/>
  <c r="K72" i="7"/>
  <c r="J72" i="7"/>
  <c r="L71" i="7"/>
  <c r="L68" i="7"/>
  <c r="N68" i="7" s="1"/>
  <c r="O68" i="7" s="1"/>
  <c r="S68" i="7" s="1"/>
  <c r="T69" i="7"/>
  <c r="R69" i="7"/>
  <c r="Q69" i="7"/>
  <c r="P69" i="7"/>
  <c r="M69" i="7"/>
  <c r="K69" i="7"/>
  <c r="J69" i="7"/>
  <c r="L67" i="7"/>
  <c r="L69" i="7" s="1"/>
  <c r="L64" i="7"/>
  <c r="N64" i="7" s="1"/>
  <c r="O64" i="7" s="1"/>
  <c r="S64" i="7" s="1"/>
  <c r="L63" i="7"/>
  <c r="N63" i="7" s="1"/>
  <c r="O63" i="7" s="1"/>
  <c r="S63" i="7" s="1"/>
  <c r="L62" i="7"/>
  <c r="N62" i="7" s="1"/>
  <c r="O62" i="7" s="1"/>
  <c r="S62" i="7" s="1"/>
  <c r="L61" i="7"/>
  <c r="N61" i="7" s="1"/>
  <c r="O61" i="7" s="1"/>
  <c r="S61" i="7" s="1"/>
  <c r="L60" i="7"/>
  <c r="N60" i="7" s="1"/>
  <c r="O60" i="7" s="1"/>
  <c r="S60" i="7" s="1"/>
  <c r="K65" i="7"/>
  <c r="L59" i="7"/>
  <c r="N59" i="7" s="1"/>
  <c r="L58" i="7"/>
  <c r="N58" i="7" s="1"/>
  <c r="O58" i="7" s="1"/>
  <c r="S58" i="7" s="1"/>
  <c r="L57" i="7"/>
  <c r="N57" i="7" s="1"/>
  <c r="O57" i="7" s="1"/>
  <c r="S57" i="7" s="1"/>
  <c r="L56" i="7"/>
  <c r="N56" i="7" s="1"/>
  <c r="O56" i="7" s="1"/>
  <c r="S56" i="7" s="1"/>
  <c r="T65" i="7"/>
  <c r="Q65" i="7"/>
  <c r="P65" i="7"/>
  <c r="M65" i="7"/>
  <c r="J65" i="7"/>
  <c r="L55" i="7"/>
  <c r="L65" i="7" s="1"/>
  <c r="R29" i="7"/>
  <c r="L52" i="7"/>
  <c r="T53" i="7"/>
  <c r="R53" i="7"/>
  <c r="Q53" i="7"/>
  <c r="P53" i="7"/>
  <c r="M53" i="7"/>
  <c r="K53" i="7"/>
  <c r="J53" i="7"/>
  <c r="I53" i="7"/>
  <c r="H53" i="7"/>
  <c r="L49" i="7"/>
  <c r="N49" i="7" s="1"/>
  <c r="O49" i="7" s="1"/>
  <c r="S49" i="7" s="1"/>
  <c r="L48" i="7"/>
  <c r="N48" i="7" s="1"/>
  <c r="O48" i="7" s="1"/>
  <c r="S48" i="7" s="1"/>
  <c r="L47" i="7"/>
  <c r="N47" i="7" s="1"/>
  <c r="O47" i="7" s="1"/>
  <c r="S47" i="7" s="1"/>
  <c r="L46" i="7"/>
  <c r="N46" i="7" s="1"/>
  <c r="O46" i="7" s="1"/>
  <c r="S46" i="7" s="1"/>
  <c r="L45" i="7"/>
  <c r="N45" i="7" s="1"/>
  <c r="O45" i="7" s="1"/>
  <c r="S45" i="7" s="1"/>
  <c r="L44" i="7"/>
  <c r="N44" i="7" s="1"/>
  <c r="O44" i="7" s="1"/>
  <c r="S44" i="7" s="1"/>
  <c r="L43" i="7"/>
  <c r="N43" i="7" s="1"/>
  <c r="O43" i="7" s="1"/>
  <c r="S43" i="7" s="1"/>
  <c r="L42" i="7"/>
  <c r="N42" i="7" s="1"/>
  <c r="O42" i="7" s="1"/>
  <c r="S42" i="7" s="1"/>
  <c r="L41" i="7"/>
  <c r="N41" i="7" s="1"/>
  <c r="L40" i="7"/>
  <c r="N40" i="7" s="1"/>
  <c r="I40" i="7"/>
  <c r="I39" i="7"/>
  <c r="I38" i="7"/>
  <c r="I50" i="7" s="1"/>
  <c r="L39" i="7"/>
  <c r="N39" i="7" s="1"/>
  <c r="L38" i="7"/>
  <c r="N38" i="7" s="1"/>
  <c r="L37" i="7"/>
  <c r="L50" i="7" s="1"/>
  <c r="T50" i="7"/>
  <c r="Q50" i="7"/>
  <c r="P50" i="7"/>
  <c r="M50" i="7"/>
  <c r="K50" i="7"/>
  <c r="J50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N28" i="7"/>
  <c r="N12" i="7"/>
  <c r="N16" i="7"/>
  <c r="T32" i="7"/>
  <c r="R32" i="7"/>
  <c r="Q32" i="7"/>
  <c r="P32" i="7"/>
  <c r="M32" i="7"/>
  <c r="K32" i="7"/>
  <c r="J32" i="7"/>
  <c r="H32" i="7"/>
  <c r="G32" i="7"/>
  <c r="N32" i="7"/>
  <c r="K11" i="7"/>
  <c r="J11" i="7"/>
  <c r="K9" i="7"/>
  <c r="J9" i="7"/>
  <c r="H28" i="7"/>
  <c r="I28" i="7" s="1"/>
  <c r="G29" i="7"/>
  <c r="H27" i="7"/>
  <c r="I27" i="7" s="1"/>
  <c r="H26" i="7"/>
  <c r="I26" i="7" s="1"/>
  <c r="H25" i="7"/>
  <c r="I25" i="7" s="1"/>
  <c r="H24" i="7"/>
  <c r="I24" i="7" s="1"/>
  <c r="J29" i="7"/>
  <c r="K29" i="7"/>
  <c r="M29" i="7"/>
  <c r="P29" i="7"/>
  <c r="Q29" i="7"/>
  <c r="T29" i="7"/>
  <c r="H23" i="7"/>
  <c r="I23" i="7" s="1"/>
  <c r="H22" i="7"/>
  <c r="H21" i="7"/>
  <c r="I21" i="7" s="1"/>
  <c r="H20" i="7"/>
  <c r="I20" i="7" s="1"/>
  <c r="H19" i="7"/>
  <c r="L19" i="7" s="1"/>
  <c r="N19" i="7" s="1"/>
  <c r="G144" i="9"/>
  <c r="J133" i="9"/>
  <c r="M146" i="9"/>
  <c r="R144" i="9"/>
  <c r="Q144" i="9"/>
  <c r="P144" i="9"/>
  <c r="M144" i="9"/>
  <c r="L144" i="9"/>
  <c r="K144" i="9"/>
  <c r="J144" i="9"/>
  <c r="T136" i="9"/>
  <c r="R136" i="9"/>
  <c r="Q136" i="9"/>
  <c r="P136" i="9"/>
  <c r="P146" i="9"/>
  <c r="M136" i="9"/>
  <c r="G136" i="9"/>
  <c r="T130" i="9"/>
  <c r="R130" i="9"/>
  <c r="Q130" i="9"/>
  <c r="P130" i="9"/>
  <c r="M130" i="9"/>
  <c r="G130" i="9"/>
  <c r="G146" i="9"/>
  <c r="G151" i="9"/>
  <c r="T12" i="9"/>
  <c r="T146" i="9"/>
  <c r="R12" i="9"/>
  <c r="R146" i="9"/>
  <c r="Q12" i="9"/>
  <c r="Q146" i="9"/>
  <c r="P12" i="9"/>
  <c r="M12" i="9"/>
  <c r="G12" i="9"/>
  <c r="S149" i="9"/>
  <c r="N149" i="9"/>
  <c r="H149" i="9"/>
  <c r="I149" i="9"/>
  <c r="K129" i="9"/>
  <c r="J129" i="9"/>
  <c r="H129" i="9"/>
  <c r="L129" i="9"/>
  <c r="K128" i="9"/>
  <c r="J128" i="9"/>
  <c r="H128" i="9"/>
  <c r="L128" i="9"/>
  <c r="H127" i="9"/>
  <c r="I127" i="9"/>
  <c r="O127" i="9"/>
  <c r="S127" i="9"/>
  <c r="K126" i="9"/>
  <c r="J126" i="9"/>
  <c r="H126" i="9"/>
  <c r="L126" i="9"/>
  <c r="K125" i="9"/>
  <c r="J125" i="9"/>
  <c r="H125" i="9"/>
  <c r="I125" i="9"/>
  <c r="K124" i="9"/>
  <c r="J124" i="9"/>
  <c r="H124" i="9"/>
  <c r="L124" i="9"/>
  <c r="K123" i="9"/>
  <c r="J123" i="9"/>
  <c r="H123" i="9"/>
  <c r="L123" i="9"/>
  <c r="K122" i="9"/>
  <c r="J122" i="9"/>
  <c r="H122" i="9"/>
  <c r="I122" i="9"/>
  <c r="K121" i="9"/>
  <c r="J121" i="9"/>
  <c r="H121" i="9"/>
  <c r="L121" i="9"/>
  <c r="K120" i="9"/>
  <c r="J120" i="9"/>
  <c r="H120" i="9"/>
  <c r="L120" i="9"/>
  <c r="K119" i="9"/>
  <c r="J119" i="9"/>
  <c r="H119" i="9"/>
  <c r="L119" i="9"/>
  <c r="K118" i="9"/>
  <c r="J118" i="9"/>
  <c r="H118" i="9"/>
  <c r="L118" i="9"/>
  <c r="K117" i="9"/>
  <c r="J117" i="9"/>
  <c r="H117" i="9"/>
  <c r="L117" i="9"/>
  <c r="K116" i="9"/>
  <c r="J116" i="9"/>
  <c r="H116" i="9"/>
  <c r="I116" i="9"/>
  <c r="K115" i="9"/>
  <c r="J115" i="9"/>
  <c r="H115" i="9"/>
  <c r="L115" i="9"/>
  <c r="K10" i="9"/>
  <c r="J10" i="9"/>
  <c r="H10" i="9"/>
  <c r="I10" i="9"/>
  <c r="K114" i="9"/>
  <c r="J114" i="9"/>
  <c r="H114" i="9"/>
  <c r="L114" i="9"/>
  <c r="K113" i="9"/>
  <c r="J113" i="9"/>
  <c r="H113" i="9"/>
  <c r="L113" i="9"/>
  <c r="K112" i="9"/>
  <c r="J112" i="9"/>
  <c r="H112" i="9"/>
  <c r="I112" i="9"/>
  <c r="K111" i="9"/>
  <c r="J111" i="9"/>
  <c r="H111" i="9"/>
  <c r="L111" i="9"/>
  <c r="K110" i="9"/>
  <c r="J110" i="9"/>
  <c r="H110" i="9"/>
  <c r="I110" i="9"/>
  <c r="K109" i="9"/>
  <c r="J109" i="9"/>
  <c r="H109" i="9"/>
  <c r="L109" i="9"/>
  <c r="K108" i="9"/>
  <c r="J108" i="9"/>
  <c r="H108" i="9"/>
  <c r="L108" i="9"/>
  <c r="K107" i="9"/>
  <c r="J107" i="9"/>
  <c r="H107" i="9"/>
  <c r="L107" i="9"/>
  <c r="K106" i="9"/>
  <c r="J106" i="9"/>
  <c r="H106" i="9"/>
  <c r="I106" i="9"/>
  <c r="N105" i="9"/>
  <c r="H105" i="9"/>
  <c r="I105" i="9"/>
  <c r="K104" i="9"/>
  <c r="J104" i="9"/>
  <c r="H104" i="9"/>
  <c r="L104" i="9"/>
  <c r="K103" i="9"/>
  <c r="J103" i="9"/>
  <c r="H103" i="9"/>
  <c r="L103" i="9"/>
  <c r="K102" i="9"/>
  <c r="J102" i="9"/>
  <c r="H102" i="9"/>
  <c r="L102" i="9"/>
  <c r="N101" i="9"/>
  <c r="H101" i="9"/>
  <c r="I101" i="9"/>
  <c r="K100" i="9"/>
  <c r="J100" i="9"/>
  <c r="H100" i="9"/>
  <c r="L100" i="9"/>
  <c r="K134" i="9"/>
  <c r="J134" i="9"/>
  <c r="H134" i="9"/>
  <c r="L134" i="9"/>
  <c r="N99" i="9"/>
  <c r="H99" i="9"/>
  <c r="I99" i="9"/>
  <c r="K98" i="9"/>
  <c r="J98" i="9"/>
  <c r="H98" i="9"/>
  <c r="I98" i="9"/>
  <c r="K97" i="9"/>
  <c r="J97" i="9"/>
  <c r="H97" i="9"/>
  <c r="L97" i="9"/>
  <c r="J96" i="9"/>
  <c r="H96" i="9"/>
  <c r="L96" i="9"/>
  <c r="K95" i="9"/>
  <c r="J95" i="9"/>
  <c r="H95" i="9"/>
  <c r="L95" i="9"/>
  <c r="J94" i="9"/>
  <c r="H94" i="9"/>
  <c r="L94" i="9"/>
  <c r="K9" i="9"/>
  <c r="J9" i="9"/>
  <c r="H9" i="9"/>
  <c r="I9" i="9"/>
  <c r="K93" i="9"/>
  <c r="H93" i="9"/>
  <c r="L93" i="9"/>
  <c r="K92" i="9"/>
  <c r="J92" i="9"/>
  <c r="H92" i="9"/>
  <c r="I92" i="9"/>
  <c r="K91" i="9"/>
  <c r="H91" i="9"/>
  <c r="L91" i="9"/>
  <c r="K90" i="9"/>
  <c r="J90" i="9"/>
  <c r="H90" i="9"/>
  <c r="I90" i="9"/>
  <c r="K89" i="9"/>
  <c r="J89" i="9"/>
  <c r="H89" i="9"/>
  <c r="I89" i="9"/>
  <c r="K88" i="9"/>
  <c r="J88" i="9"/>
  <c r="H88" i="9"/>
  <c r="I88" i="9"/>
  <c r="K8" i="9"/>
  <c r="J8" i="9"/>
  <c r="H8" i="9"/>
  <c r="I8" i="9"/>
  <c r="K7" i="9"/>
  <c r="J7" i="9"/>
  <c r="H7" i="9"/>
  <c r="L7" i="9"/>
  <c r="K87" i="9"/>
  <c r="H87" i="9"/>
  <c r="L87" i="9"/>
  <c r="K86" i="9"/>
  <c r="H86" i="9"/>
  <c r="I86" i="9"/>
  <c r="K85" i="9"/>
  <c r="J85" i="9"/>
  <c r="H85" i="9"/>
  <c r="I85" i="9"/>
  <c r="K84" i="9"/>
  <c r="J84" i="9"/>
  <c r="H84" i="9"/>
  <c r="I84" i="9"/>
  <c r="K83" i="9"/>
  <c r="J83" i="9"/>
  <c r="H83" i="9"/>
  <c r="I83" i="9"/>
  <c r="K82" i="9"/>
  <c r="J82" i="9"/>
  <c r="H82" i="9"/>
  <c r="I82" i="9"/>
  <c r="K81" i="9"/>
  <c r="J81" i="9"/>
  <c r="H81" i="9"/>
  <c r="I81" i="9"/>
  <c r="K80" i="9"/>
  <c r="J80" i="9"/>
  <c r="H80" i="9"/>
  <c r="I80" i="9"/>
  <c r="K79" i="9"/>
  <c r="J79" i="9"/>
  <c r="H79" i="9"/>
  <c r="I79" i="9"/>
  <c r="K78" i="9"/>
  <c r="H78" i="9"/>
  <c r="L78" i="9"/>
  <c r="N77" i="9"/>
  <c r="H77" i="9"/>
  <c r="I77" i="9"/>
  <c r="K76" i="9"/>
  <c r="J76" i="9"/>
  <c r="H76" i="9"/>
  <c r="L76" i="9"/>
  <c r="K75" i="9"/>
  <c r="H75" i="9"/>
  <c r="L75" i="9"/>
  <c r="K74" i="9"/>
  <c r="J74" i="9"/>
  <c r="H74" i="9"/>
  <c r="L74" i="9"/>
  <c r="K73" i="9"/>
  <c r="H73" i="9"/>
  <c r="L73" i="9"/>
  <c r="K72" i="9"/>
  <c r="J72" i="9"/>
  <c r="H72" i="9"/>
  <c r="I72" i="9"/>
  <c r="K71" i="9"/>
  <c r="J71" i="9"/>
  <c r="H71" i="9"/>
  <c r="L71" i="9"/>
  <c r="K70" i="9"/>
  <c r="J70" i="9"/>
  <c r="H70" i="9"/>
  <c r="L70" i="9"/>
  <c r="N69" i="9"/>
  <c r="H69" i="9"/>
  <c r="I69" i="9"/>
  <c r="AE84" i="9"/>
  <c r="K68" i="9"/>
  <c r="J68" i="9"/>
  <c r="H68" i="9"/>
  <c r="L68" i="9"/>
  <c r="AG83" i="9"/>
  <c r="K67" i="9"/>
  <c r="J67" i="9"/>
  <c r="H67" i="9"/>
  <c r="L67" i="9"/>
  <c r="AD82" i="9"/>
  <c r="AC82" i="9"/>
  <c r="Z82" i="9"/>
  <c r="AB82" i="9"/>
  <c r="J66" i="9"/>
  <c r="H66" i="9"/>
  <c r="L66" i="9"/>
  <c r="AD81" i="9"/>
  <c r="Z81" i="9"/>
  <c r="AB81" i="9"/>
  <c r="K65" i="9"/>
  <c r="J65" i="9"/>
  <c r="H65" i="9"/>
  <c r="L65" i="9"/>
  <c r="AD80" i="9"/>
  <c r="AC80" i="9"/>
  <c r="Z80" i="9"/>
  <c r="AB80" i="9"/>
  <c r="K64" i="9"/>
  <c r="J64" i="9"/>
  <c r="H64" i="9"/>
  <c r="I64" i="9"/>
  <c r="AA79" i="9"/>
  <c r="K63" i="9"/>
  <c r="J63" i="9"/>
  <c r="H63" i="9"/>
  <c r="L63" i="9"/>
  <c r="K62" i="9"/>
  <c r="J62" i="9"/>
  <c r="H62" i="9"/>
  <c r="L62" i="9"/>
  <c r="K11" i="9"/>
  <c r="J11" i="9"/>
  <c r="H11" i="9"/>
  <c r="N143" i="9"/>
  <c r="H143" i="9"/>
  <c r="I143" i="9"/>
  <c r="K61" i="9"/>
  <c r="H61" i="9"/>
  <c r="L61" i="9"/>
  <c r="K60" i="9"/>
  <c r="J60" i="9"/>
  <c r="H60" i="9"/>
  <c r="L60" i="9"/>
  <c r="K59" i="9"/>
  <c r="H59" i="9"/>
  <c r="K58" i="9"/>
  <c r="J58" i="9"/>
  <c r="H58" i="9"/>
  <c r="L58" i="9"/>
  <c r="K57" i="9"/>
  <c r="J57" i="9"/>
  <c r="H57" i="9"/>
  <c r="L57" i="9"/>
  <c r="K56" i="9"/>
  <c r="H56" i="9"/>
  <c r="L56" i="9"/>
  <c r="K55" i="9"/>
  <c r="H55" i="9"/>
  <c r="K54" i="9"/>
  <c r="H54" i="9"/>
  <c r="I54" i="9"/>
  <c r="K53" i="9"/>
  <c r="H53" i="9"/>
  <c r="L53" i="9"/>
  <c r="K52" i="9"/>
  <c r="H52" i="9"/>
  <c r="L52" i="9"/>
  <c r="K135" i="9"/>
  <c r="H135" i="9"/>
  <c r="L135" i="9"/>
  <c r="K51" i="9"/>
  <c r="J51" i="9"/>
  <c r="H51" i="9"/>
  <c r="L51" i="9"/>
  <c r="K50" i="9"/>
  <c r="J50" i="9"/>
  <c r="H50" i="9"/>
  <c r="L50" i="9"/>
  <c r="K133" i="9"/>
  <c r="K136" i="9"/>
  <c r="H133" i="9"/>
  <c r="K49" i="9"/>
  <c r="J49" i="9"/>
  <c r="H49" i="9"/>
  <c r="L49" i="9"/>
  <c r="N138" i="9"/>
  <c r="H138" i="9"/>
  <c r="I138" i="9"/>
  <c r="K48" i="9"/>
  <c r="J48" i="9"/>
  <c r="H48" i="9"/>
  <c r="I48" i="9"/>
  <c r="H47" i="9"/>
  <c r="L47" i="9"/>
  <c r="N47" i="9"/>
  <c r="K46" i="9"/>
  <c r="J46" i="9"/>
  <c r="H46" i="9"/>
  <c r="L46" i="9"/>
  <c r="K45" i="9"/>
  <c r="J45" i="9"/>
  <c r="H45" i="9"/>
  <c r="K44" i="9"/>
  <c r="J44" i="9"/>
  <c r="H44" i="9"/>
  <c r="K43" i="9"/>
  <c r="J43" i="9"/>
  <c r="H43" i="9"/>
  <c r="K42" i="9"/>
  <c r="J42" i="9"/>
  <c r="H42" i="9"/>
  <c r="H41" i="9"/>
  <c r="H40" i="9"/>
  <c r="L40" i="9"/>
  <c r="N40" i="9"/>
  <c r="K39" i="9"/>
  <c r="J39" i="9"/>
  <c r="H39" i="9"/>
  <c r="L39" i="9"/>
  <c r="K38" i="9"/>
  <c r="J38" i="9"/>
  <c r="H38" i="9"/>
  <c r="I38" i="9"/>
  <c r="N37" i="9"/>
  <c r="H37" i="9"/>
  <c r="I37" i="9"/>
  <c r="N36" i="9"/>
  <c r="H36" i="9"/>
  <c r="I36" i="9"/>
  <c r="K35" i="9"/>
  <c r="J35" i="9"/>
  <c r="H35" i="9"/>
  <c r="I35" i="9"/>
  <c r="K34" i="9"/>
  <c r="J34" i="9"/>
  <c r="H34" i="9"/>
  <c r="L34" i="9"/>
  <c r="K33" i="9"/>
  <c r="J33" i="9"/>
  <c r="H33" i="9"/>
  <c r="I33" i="9"/>
  <c r="K32" i="9"/>
  <c r="J32" i="9"/>
  <c r="H32" i="9"/>
  <c r="L32" i="9"/>
  <c r="N132" i="9"/>
  <c r="H132" i="9"/>
  <c r="I132" i="9"/>
  <c r="K31" i="9"/>
  <c r="J31" i="9"/>
  <c r="H31" i="9"/>
  <c r="I31" i="9"/>
  <c r="K30" i="9"/>
  <c r="J30" i="9"/>
  <c r="H30" i="9"/>
  <c r="I30" i="9"/>
  <c r="H29" i="9"/>
  <c r="L29" i="9"/>
  <c r="N29" i="9"/>
  <c r="K28" i="9"/>
  <c r="J28" i="9"/>
  <c r="H28" i="9"/>
  <c r="L28" i="9"/>
  <c r="K27" i="9"/>
  <c r="J27" i="9"/>
  <c r="H27" i="9"/>
  <c r="L27" i="9"/>
  <c r="N141" i="9"/>
  <c r="N144" i="9"/>
  <c r="H141" i="9"/>
  <c r="I141" i="9"/>
  <c r="I144" i="9"/>
  <c r="K26" i="9"/>
  <c r="J26" i="9"/>
  <c r="H26" i="9"/>
  <c r="L26" i="9"/>
  <c r="K25" i="9"/>
  <c r="J25" i="9"/>
  <c r="H25" i="9"/>
  <c r="L25" i="9"/>
  <c r="K24" i="9"/>
  <c r="J24" i="9"/>
  <c r="H24" i="9"/>
  <c r="K23" i="9"/>
  <c r="J23" i="9"/>
  <c r="H23" i="9"/>
  <c r="L23" i="9"/>
  <c r="K22" i="9"/>
  <c r="J22" i="9"/>
  <c r="H22" i="9"/>
  <c r="L22" i="9"/>
  <c r="K21" i="9"/>
  <c r="J21" i="9"/>
  <c r="H21" i="9"/>
  <c r="L21" i="9"/>
  <c r="K20" i="9"/>
  <c r="J20" i="9"/>
  <c r="H20" i="9"/>
  <c r="L20" i="9"/>
  <c r="K19" i="9"/>
  <c r="J19" i="9"/>
  <c r="H19" i="9"/>
  <c r="L19" i="9"/>
  <c r="N18" i="9"/>
  <c r="H18" i="9"/>
  <c r="I18" i="9"/>
  <c r="N17" i="9"/>
  <c r="H17" i="9"/>
  <c r="I17" i="9"/>
  <c r="K16" i="9"/>
  <c r="J16" i="9"/>
  <c r="H16" i="9"/>
  <c r="L16" i="9"/>
  <c r="K15" i="9"/>
  <c r="J15" i="9"/>
  <c r="H15" i="9"/>
  <c r="L15" i="9"/>
  <c r="K14" i="9"/>
  <c r="J14" i="9"/>
  <c r="H14" i="9"/>
  <c r="L14" i="9"/>
  <c r="S104" i="8"/>
  <c r="R104" i="8"/>
  <c r="R159" i="8"/>
  <c r="R164" i="8"/>
  <c r="Q104" i="8"/>
  <c r="P104" i="8"/>
  <c r="O104" i="8"/>
  <c r="N104" i="8"/>
  <c r="M104" i="8"/>
  <c r="L104" i="8"/>
  <c r="K104" i="8"/>
  <c r="J104" i="8"/>
  <c r="I104" i="8"/>
  <c r="H104" i="8"/>
  <c r="H159" i="8"/>
  <c r="H164" i="8"/>
  <c r="G104" i="8"/>
  <c r="G159" i="8"/>
  <c r="G164" i="8"/>
  <c r="T164" i="8"/>
  <c r="Q164" i="8"/>
  <c r="P164" i="8"/>
  <c r="M164" i="8"/>
  <c r="T159" i="8"/>
  <c r="Q159" i="8"/>
  <c r="P159" i="8"/>
  <c r="M159" i="8"/>
  <c r="I159" i="8"/>
  <c r="I164" i="8"/>
  <c r="G27" i="8"/>
  <c r="G17" i="8"/>
  <c r="G157" i="8"/>
  <c r="G131" i="8"/>
  <c r="G115" i="8"/>
  <c r="G87" i="8"/>
  <c r="G73" i="8"/>
  <c r="G67" i="8"/>
  <c r="G54" i="8"/>
  <c r="G44" i="8"/>
  <c r="G37" i="8"/>
  <c r="H162" i="8"/>
  <c r="T157" i="8"/>
  <c r="R157" i="8"/>
  <c r="Q157" i="8"/>
  <c r="P157" i="8"/>
  <c r="M157" i="8"/>
  <c r="K156" i="8"/>
  <c r="J156" i="8"/>
  <c r="H156" i="8"/>
  <c r="K155" i="8"/>
  <c r="J155" i="8"/>
  <c r="H155" i="8"/>
  <c r="S154" i="8"/>
  <c r="H154" i="8"/>
  <c r="I154" i="8"/>
  <c r="O154" i="8"/>
  <c r="K153" i="8"/>
  <c r="J153" i="8"/>
  <c r="H153" i="8"/>
  <c r="I153" i="8"/>
  <c r="K152" i="8"/>
  <c r="J152" i="8"/>
  <c r="H152" i="8"/>
  <c r="I152" i="8"/>
  <c r="K151" i="8"/>
  <c r="J151" i="8"/>
  <c r="H151" i="8"/>
  <c r="I151" i="8"/>
  <c r="K150" i="8"/>
  <c r="J150" i="8"/>
  <c r="H150" i="8"/>
  <c r="I150" i="8"/>
  <c r="K149" i="8"/>
  <c r="J149" i="8"/>
  <c r="H149" i="8"/>
  <c r="I149" i="8"/>
  <c r="K148" i="8"/>
  <c r="J148" i="8"/>
  <c r="H148" i="8"/>
  <c r="I148" i="8"/>
  <c r="K147" i="8"/>
  <c r="J147" i="8"/>
  <c r="H147" i="8"/>
  <c r="I147" i="8"/>
  <c r="K146" i="8"/>
  <c r="J146" i="8"/>
  <c r="H146" i="8"/>
  <c r="I146" i="8"/>
  <c r="K145" i="8"/>
  <c r="J145" i="8"/>
  <c r="H145" i="8"/>
  <c r="I145" i="8"/>
  <c r="L144" i="8"/>
  <c r="K144" i="8"/>
  <c r="J144" i="8"/>
  <c r="H144" i="8"/>
  <c r="I144" i="8"/>
  <c r="K143" i="8"/>
  <c r="J143" i="8"/>
  <c r="H143" i="8"/>
  <c r="I143" i="8"/>
  <c r="L142" i="8"/>
  <c r="K142" i="8"/>
  <c r="J142" i="8"/>
  <c r="H142" i="8"/>
  <c r="I142" i="8"/>
  <c r="L141" i="8"/>
  <c r="K141" i="8"/>
  <c r="J141" i="8"/>
  <c r="H141" i="8"/>
  <c r="I141" i="8"/>
  <c r="L140" i="8"/>
  <c r="K140" i="8"/>
  <c r="J140" i="8"/>
  <c r="H140" i="8"/>
  <c r="I140" i="8"/>
  <c r="K139" i="8"/>
  <c r="J139" i="8"/>
  <c r="H139" i="8"/>
  <c r="I139" i="8"/>
  <c r="L138" i="8"/>
  <c r="K138" i="8"/>
  <c r="J138" i="8"/>
  <c r="H138" i="8"/>
  <c r="I138" i="8"/>
  <c r="K137" i="8"/>
  <c r="J137" i="8"/>
  <c r="H137" i="8"/>
  <c r="I137" i="8"/>
  <c r="L136" i="8"/>
  <c r="K136" i="8"/>
  <c r="J136" i="8"/>
  <c r="H136" i="8"/>
  <c r="I136" i="8"/>
  <c r="K135" i="8"/>
  <c r="J135" i="8"/>
  <c r="H135" i="8"/>
  <c r="I135" i="8"/>
  <c r="L134" i="8"/>
  <c r="K134" i="8"/>
  <c r="J134" i="8"/>
  <c r="H134" i="8"/>
  <c r="I134" i="8"/>
  <c r="K133" i="8"/>
  <c r="J133" i="8"/>
  <c r="H133" i="8"/>
  <c r="I133" i="8"/>
  <c r="T131" i="8"/>
  <c r="R131" i="8"/>
  <c r="Q131" i="8"/>
  <c r="P131" i="8"/>
  <c r="M131" i="8"/>
  <c r="K130" i="8"/>
  <c r="J130" i="8"/>
  <c r="N130" i="8"/>
  <c r="H130" i="8"/>
  <c r="L130" i="8"/>
  <c r="N129" i="8"/>
  <c r="I129" i="8"/>
  <c r="H129" i="8"/>
  <c r="K128" i="8"/>
  <c r="J128" i="8"/>
  <c r="N128" i="8"/>
  <c r="H128" i="8"/>
  <c r="L128" i="8"/>
  <c r="K127" i="8"/>
  <c r="J127" i="8"/>
  <c r="N127" i="8"/>
  <c r="H127" i="8"/>
  <c r="L127" i="8"/>
  <c r="N126" i="8"/>
  <c r="K126" i="8"/>
  <c r="J126" i="8"/>
  <c r="H126" i="8"/>
  <c r="L126" i="8"/>
  <c r="N125" i="8"/>
  <c r="H125" i="8"/>
  <c r="I125" i="8"/>
  <c r="O125" i="8"/>
  <c r="S125" i="8"/>
  <c r="L124" i="8"/>
  <c r="K124" i="8"/>
  <c r="J124" i="8"/>
  <c r="H124" i="8"/>
  <c r="I124" i="8"/>
  <c r="K123" i="8"/>
  <c r="J123" i="8"/>
  <c r="H123" i="8"/>
  <c r="I123" i="8"/>
  <c r="N122" i="8"/>
  <c r="H122" i="8"/>
  <c r="I122" i="8"/>
  <c r="O122" i="8"/>
  <c r="S122" i="8"/>
  <c r="K121" i="8"/>
  <c r="J121" i="8"/>
  <c r="H121" i="8"/>
  <c r="L121" i="8"/>
  <c r="K120" i="8"/>
  <c r="J120" i="8"/>
  <c r="H120" i="8"/>
  <c r="I120" i="8"/>
  <c r="J119" i="8"/>
  <c r="H119" i="8"/>
  <c r="K118" i="8"/>
  <c r="J118" i="8"/>
  <c r="H118" i="8"/>
  <c r="J117" i="8"/>
  <c r="H117" i="8"/>
  <c r="L117" i="8"/>
  <c r="R115" i="8"/>
  <c r="Q115" i="8"/>
  <c r="P115" i="8"/>
  <c r="M115" i="8"/>
  <c r="L114" i="8"/>
  <c r="K114" i="8"/>
  <c r="J114" i="8"/>
  <c r="N114" i="8"/>
  <c r="O114" i="8"/>
  <c r="S114" i="8"/>
  <c r="H114" i="8"/>
  <c r="I114" i="8"/>
  <c r="K113" i="8"/>
  <c r="H113" i="8"/>
  <c r="L113" i="8"/>
  <c r="L112" i="8"/>
  <c r="K112" i="8"/>
  <c r="J112" i="8"/>
  <c r="N112" i="8"/>
  <c r="H112" i="8"/>
  <c r="I112" i="8"/>
  <c r="K111" i="8"/>
  <c r="N111" i="8"/>
  <c r="H111" i="8"/>
  <c r="L111" i="8"/>
  <c r="L110" i="8"/>
  <c r="K110" i="8"/>
  <c r="N110" i="8"/>
  <c r="J110" i="8"/>
  <c r="I110" i="8"/>
  <c r="H110" i="8"/>
  <c r="K109" i="8"/>
  <c r="J109" i="8"/>
  <c r="H109" i="8"/>
  <c r="L109" i="8"/>
  <c r="K108" i="8"/>
  <c r="N108" i="8"/>
  <c r="J108" i="8"/>
  <c r="I108" i="8"/>
  <c r="H108" i="8"/>
  <c r="L108" i="8"/>
  <c r="K107" i="8"/>
  <c r="J107" i="8"/>
  <c r="H107" i="8"/>
  <c r="I107" i="8"/>
  <c r="K106" i="8"/>
  <c r="J106" i="8"/>
  <c r="H106" i="8"/>
  <c r="L106" i="8"/>
  <c r="K103" i="8"/>
  <c r="I103" i="8"/>
  <c r="O103" i="8"/>
  <c r="S103" i="8"/>
  <c r="H103" i="8"/>
  <c r="L103" i="8"/>
  <c r="N103" i="8"/>
  <c r="K102" i="8"/>
  <c r="H102" i="8"/>
  <c r="I102" i="8"/>
  <c r="K101" i="8"/>
  <c r="J101" i="8"/>
  <c r="H101" i="8"/>
  <c r="I101" i="8"/>
  <c r="L100" i="8"/>
  <c r="K100" i="8"/>
  <c r="J100" i="8"/>
  <c r="H100" i="8"/>
  <c r="I100" i="8"/>
  <c r="K99" i="8"/>
  <c r="J99" i="8"/>
  <c r="H99" i="8"/>
  <c r="I99" i="8"/>
  <c r="K98" i="8"/>
  <c r="J98" i="8"/>
  <c r="H98" i="8"/>
  <c r="I98" i="8"/>
  <c r="L97" i="8"/>
  <c r="N97" i="8"/>
  <c r="K97" i="8"/>
  <c r="J97" i="8"/>
  <c r="H97" i="8"/>
  <c r="I97" i="8"/>
  <c r="K96" i="8"/>
  <c r="J96" i="8"/>
  <c r="H96" i="8"/>
  <c r="I96" i="8"/>
  <c r="K95" i="8"/>
  <c r="J95" i="8"/>
  <c r="H95" i="8"/>
  <c r="I95" i="8"/>
  <c r="K94" i="8"/>
  <c r="H94" i="8"/>
  <c r="I94" i="8"/>
  <c r="N93" i="8"/>
  <c r="H93" i="8"/>
  <c r="I93" i="8"/>
  <c r="O93" i="8"/>
  <c r="S93" i="8"/>
  <c r="K92" i="8"/>
  <c r="J92" i="8"/>
  <c r="H92" i="8"/>
  <c r="L92" i="8"/>
  <c r="K91" i="8"/>
  <c r="H91" i="8"/>
  <c r="I91" i="8"/>
  <c r="K90" i="8"/>
  <c r="J90" i="8"/>
  <c r="H90" i="8"/>
  <c r="K89" i="8"/>
  <c r="I89" i="8"/>
  <c r="H89" i="8"/>
  <c r="L89" i="8"/>
  <c r="R87" i="8"/>
  <c r="Q87" i="8"/>
  <c r="P87" i="8"/>
  <c r="M87" i="8"/>
  <c r="K86" i="8"/>
  <c r="J86" i="8"/>
  <c r="H86" i="8"/>
  <c r="I86" i="8"/>
  <c r="K85" i="8"/>
  <c r="J85" i="8"/>
  <c r="H85" i="8"/>
  <c r="I85" i="8"/>
  <c r="K84" i="8"/>
  <c r="J84" i="8"/>
  <c r="H84" i="8"/>
  <c r="I84" i="8"/>
  <c r="N83" i="8"/>
  <c r="H83" i="8"/>
  <c r="I83" i="8"/>
  <c r="O83" i="8"/>
  <c r="S83" i="8"/>
  <c r="AE82" i="8"/>
  <c r="K82" i="8"/>
  <c r="J82" i="8"/>
  <c r="H82" i="8"/>
  <c r="AG81" i="8"/>
  <c r="K81" i="8"/>
  <c r="J81" i="8"/>
  <c r="H81" i="8"/>
  <c r="AD80" i="8"/>
  <c r="AC80" i="8"/>
  <c r="Z80" i="8"/>
  <c r="AB80" i="8"/>
  <c r="J80" i="8"/>
  <c r="N80" i="8"/>
  <c r="H80" i="8"/>
  <c r="L80" i="8"/>
  <c r="AD79" i="8"/>
  <c r="AA79" i="8"/>
  <c r="Z79" i="8"/>
  <c r="AB79" i="8"/>
  <c r="L79" i="8"/>
  <c r="K79" i="8"/>
  <c r="J79" i="8"/>
  <c r="N79" i="8"/>
  <c r="I79" i="8"/>
  <c r="H79" i="8"/>
  <c r="AD78" i="8"/>
  <c r="AC78" i="8"/>
  <c r="AC82" i="8"/>
  <c r="Z78" i="8"/>
  <c r="AB78" i="8"/>
  <c r="K78" i="8"/>
  <c r="J78" i="8"/>
  <c r="H78" i="8"/>
  <c r="L78" i="8"/>
  <c r="AA77" i="8"/>
  <c r="AF77" i="8"/>
  <c r="K77" i="8"/>
  <c r="J77" i="8"/>
  <c r="H77" i="8"/>
  <c r="I77" i="8"/>
  <c r="L76" i="8"/>
  <c r="K76" i="8"/>
  <c r="J76" i="8"/>
  <c r="H76" i="8"/>
  <c r="I76" i="8"/>
  <c r="L75" i="8"/>
  <c r="K75" i="8"/>
  <c r="J75" i="8"/>
  <c r="I75" i="8"/>
  <c r="H75" i="8"/>
  <c r="R73" i="8"/>
  <c r="Q73" i="8"/>
  <c r="P73" i="8"/>
  <c r="M73" i="8"/>
  <c r="N72" i="8"/>
  <c r="H72" i="8"/>
  <c r="K71" i="8"/>
  <c r="H71" i="8"/>
  <c r="L71" i="8"/>
  <c r="L70" i="8"/>
  <c r="K70" i="8"/>
  <c r="J70" i="8"/>
  <c r="I70" i="8"/>
  <c r="H70" i="8"/>
  <c r="K69" i="8"/>
  <c r="H69" i="8"/>
  <c r="L69" i="8"/>
  <c r="R67" i="8"/>
  <c r="Q67" i="8"/>
  <c r="P67" i="8"/>
  <c r="M67" i="8"/>
  <c r="K66" i="8"/>
  <c r="J66" i="8"/>
  <c r="H66" i="8"/>
  <c r="K65" i="8"/>
  <c r="J65" i="8"/>
  <c r="H65" i="8"/>
  <c r="K64" i="8"/>
  <c r="I64" i="8"/>
  <c r="H64" i="8"/>
  <c r="L64" i="8"/>
  <c r="K63" i="8"/>
  <c r="H63" i="8"/>
  <c r="L63" i="8"/>
  <c r="N63" i="8"/>
  <c r="K62" i="8"/>
  <c r="H62" i="8"/>
  <c r="I62" i="8"/>
  <c r="K61" i="8"/>
  <c r="H61" i="8"/>
  <c r="L61" i="8"/>
  <c r="N61" i="8"/>
  <c r="K60" i="8"/>
  <c r="H60" i="8"/>
  <c r="L60" i="8"/>
  <c r="K59" i="8"/>
  <c r="J59" i="8"/>
  <c r="H59" i="8"/>
  <c r="I59" i="8"/>
  <c r="L58" i="8"/>
  <c r="K58" i="8"/>
  <c r="J58" i="8"/>
  <c r="H58" i="8"/>
  <c r="I58" i="8"/>
  <c r="L57" i="8"/>
  <c r="K57" i="8"/>
  <c r="J57" i="8"/>
  <c r="N57" i="8"/>
  <c r="I57" i="8"/>
  <c r="H57" i="8"/>
  <c r="K56" i="8"/>
  <c r="J56" i="8"/>
  <c r="H56" i="8"/>
  <c r="L56" i="8"/>
  <c r="R54" i="8"/>
  <c r="Q54" i="8"/>
  <c r="P54" i="8"/>
  <c r="M54" i="8"/>
  <c r="K53" i="8"/>
  <c r="J53" i="8"/>
  <c r="H53" i="8"/>
  <c r="N52" i="8"/>
  <c r="H52" i="8"/>
  <c r="I52" i="8"/>
  <c r="K51" i="8"/>
  <c r="J51" i="8"/>
  <c r="H51" i="8"/>
  <c r="I51" i="8"/>
  <c r="L50" i="8"/>
  <c r="N50" i="8"/>
  <c r="I50" i="8"/>
  <c r="H50" i="8"/>
  <c r="K49" i="8"/>
  <c r="J49" i="8"/>
  <c r="H49" i="8"/>
  <c r="L49" i="8"/>
  <c r="K48" i="8"/>
  <c r="J48" i="8"/>
  <c r="H48" i="8"/>
  <c r="L48" i="8"/>
  <c r="N48" i="8"/>
  <c r="L47" i="8"/>
  <c r="K47" i="8"/>
  <c r="J47" i="8"/>
  <c r="H47" i="8"/>
  <c r="I47" i="8"/>
  <c r="K46" i="8"/>
  <c r="J46" i="8"/>
  <c r="H46" i="8"/>
  <c r="L46" i="8"/>
  <c r="R44" i="8"/>
  <c r="Q44" i="8"/>
  <c r="P44" i="8"/>
  <c r="M44" i="8"/>
  <c r="K43" i="8"/>
  <c r="J43" i="8"/>
  <c r="H43" i="8"/>
  <c r="H42" i="8"/>
  <c r="I42" i="8"/>
  <c r="I41" i="8"/>
  <c r="H41" i="8"/>
  <c r="L41" i="8"/>
  <c r="N41" i="8"/>
  <c r="O41" i="8"/>
  <c r="S41" i="8"/>
  <c r="K40" i="8"/>
  <c r="J40" i="8"/>
  <c r="H40" i="8"/>
  <c r="L40" i="8"/>
  <c r="K39" i="8"/>
  <c r="J39" i="8"/>
  <c r="H39" i="8"/>
  <c r="L39" i="8"/>
  <c r="R37" i="8"/>
  <c r="Q37" i="8"/>
  <c r="P37" i="8"/>
  <c r="M37" i="8"/>
  <c r="N36" i="8"/>
  <c r="H36" i="8"/>
  <c r="I36" i="8"/>
  <c r="N35" i="8"/>
  <c r="I35" i="8"/>
  <c r="O35" i="8"/>
  <c r="S35" i="8"/>
  <c r="H35" i="8"/>
  <c r="K34" i="8"/>
  <c r="J34" i="8"/>
  <c r="H34" i="8"/>
  <c r="L34" i="8"/>
  <c r="L33" i="8"/>
  <c r="K33" i="8"/>
  <c r="J33" i="8"/>
  <c r="H33" i="8"/>
  <c r="I33" i="8"/>
  <c r="K32" i="8"/>
  <c r="J32" i="8"/>
  <c r="H32" i="8"/>
  <c r="L32" i="8"/>
  <c r="K31" i="8"/>
  <c r="J31" i="8"/>
  <c r="H31" i="8"/>
  <c r="L31" i="8"/>
  <c r="N30" i="8"/>
  <c r="H30" i="8"/>
  <c r="I30" i="8"/>
  <c r="O30" i="8"/>
  <c r="S30" i="8"/>
  <c r="L29" i="8"/>
  <c r="K29" i="8"/>
  <c r="J29" i="8"/>
  <c r="H29" i="8"/>
  <c r="I29" i="8"/>
  <c r="R27" i="8"/>
  <c r="Q27" i="8"/>
  <c r="P27" i="8"/>
  <c r="M27" i="8"/>
  <c r="K26" i="8"/>
  <c r="J26" i="8"/>
  <c r="N26" i="8"/>
  <c r="H26" i="8"/>
  <c r="L26" i="8"/>
  <c r="H25" i="8"/>
  <c r="K24" i="8"/>
  <c r="J24" i="8"/>
  <c r="H24" i="8"/>
  <c r="I24" i="8"/>
  <c r="K23" i="8"/>
  <c r="J23" i="8"/>
  <c r="H23" i="8"/>
  <c r="I23" i="8"/>
  <c r="N22" i="8"/>
  <c r="H22" i="8"/>
  <c r="I22" i="8"/>
  <c r="O22" i="8"/>
  <c r="S22" i="8"/>
  <c r="L21" i="8"/>
  <c r="K21" i="8"/>
  <c r="J21" i="8"/>
  <c r="H21" i="8"/>
  <c r="I21" i="8"/>
  <c r="K20" i="8"/>
  <c r="J20" i="8"/>
  <c r="H20" i="8"/>
  <c r="I20" i="8"/>
  <c r="K19" i="8"/>
  <c r="J19" i="8"/>
  <c r="H19" i="8"/>
  <c r="L19" i="8"/>
  <c r="T17" i="8"/>
  <c r="R17" i="8"/>
  <c r="Q17" i="8"/>
  <c r="P17" i="8"/>
  <c r="M17" i="8"/>
  <c r="K16" i="8"/>
  <c r="J16" i="8"/>
  <c r="H16" i="8"/>
  <c r="K15" i="8"/>
  <c r="J15" i="8"/>
  <c r="H15" i="8"/>
  <c r="L15" i="8"/>
  <c r="K14" i="8"/>
  <c r="J14" i="8"/>
  <c r="N14" i="8"/>
  <c r="H14" i="8"/>
  <c r="L14" i="8"/>
  <c r="K13" i="8"/>
  <c r="J13" i="8"/>
  <c r="H13" i="8"/>
  <c r="L13" i="8"/>
  <c r="K12" i="8"/>
  <c r="J12" i="8"/>
  <c r="I12" i="8"/>
  <c r="H12" i="8"/>
  <c r="L12" i="8"/>
  <c r="N11" i="8"/>
  <c r="H11" i="8"/>
  <c r="I11" i="8"/>
  <c r="O11" i="8"/>
  <c r="S11" i="8"/>
  <c r="N10" i="8"/>
  <c r="H10" i="8"/>
  <c r="I10" i="8"/>
  <c r="K9" i="8"/>
  <c r="J9" i="8"/>
  <c r="N9" i="8"/>
  <c r="H9" i="8"/>
  <c r="L9" i="8"/>
  <c r="K8" i="8"/>
  <c r="J8" i="8"/>
  <c r="H8" i="8"/>
  <c r="L8" i="8"/>
  <c r="K7" i="8"/>
  <c r="J7" i="8"/>
  <c r="H7" i="8"/>
  <c r="I7" i="8"/>
  <c r="K156" i="1"/>
  <c r="J156" i="1"/>
  <c r="K166" i="1"/>
  <c r="J166" i="1"/>
  <c r="K154" i="1"/>
  <c r="J154" i="1"/>
  <c r="K155" i="1"/>
  <c r="J155" i="1"/>
  <c r="K162" i="1"/>
  <c r="J162" i="1"/>
  <c r="K165" i="1"/>
  <c r="J165" i="1"/>
  <c r="J161" i="1"/>
  <c r="K161" i="1"/>
  <c r="K157" i="1"/>
  <c r="J157" i="1"/>
  <c r="K160" i="1"/>
  <c r="J160" i="1"/>
  <c r="K163" i="1"/>
  <c r="J163" i="1"/>
  <c r="K5" i="7"/>
  <c r="K6" i="7" s="1"/>
  <c r="J5" i="7"/>
  <c r="J6" i="7" s="1"/>
  <c r="K152" i="1"/>
  <c r="J152" i="1"/>
  <c r="K158" i="1"/>
  <c r="J158" i="1"/>
  <c r="K153" i="1"/>
  <c r="J153" i="1"/>
  <c r="K159" i="1"/>
  <c r="J159" i="1"/>
  <c r="J8" i="7"/>
  <c r="K8" i="7"/>
  <c r="J17" i="7"/>
  <c r="K17" i="7"/>
  <c r="M17" i="7"/>
  <c r="P17" i="7"/>
  <c r="Q17" i="7"/>
  <c r="R17" i="7"/>
  <c r="T17" i="7"/>
  <c r="G17" i="7"/>
  <c r="M13" i="7"/>
  <c r="P13" i="7"/>
  <c r="Q13" i="7"/>
  <c r="R13" i="7"/>
  <c r="T13" i="7"/>
  <c r="G13" i="7"/>
  <c r="P6" i="7"/>
  <c r="R6" i="7"/>
  <c r="G6" i="7"/>
  <c r="H16" i="7"/>
  <c r="I16" i="7" s="1"/>
  <c r="H15" i="7"/>
  <c r="I15" i="7" s="1"/>
  <c r="H12" i="7"/>
  <c r="I12" i="7" s="1"/>
  <c r="H11" i="7"/>
  <c r="I11" i="7" s="1"/>
  <c r="H10" i="7"/>
  <c r="I10" i="7" s="1"/>
  <c r="H9" i="7"/>
  <c r="I9" i="7" s="1"/>
  <c r="H8" i="7"/>
  <c r="L8" i="7" s="1"/>
  <c r="Q6" i="7"/>
  <c r="M6" i="7"/>
  <c r="H17" i="1"/>
  <c r="H18" i="1"/>
  <c r="H19" i="1"/>
  <c r="H20" i="1"/>
  <c r="H21" i="1"/>
  <c r="H22" i="1"/>
  <c r="L22" i="1"/>
  <c r="H23" i="1"/>
  <c r="H24" i="1"/>
  <c r="I24" i="1"/>
  <c r="H25" i="1"/>
  <c r="I25" i="1"/>
  <c r="H26" i="1"/>
  <c r="I18" i="1"/>
  <c r="I19" i="1"/>
  <c r="I20" i="1"/>
  <c r="I21" i="1"/>
  <c r="O21" i="1"/>
  <c r="S21" i="1"/>
  <c r="I22" i="1"/>
  <c r="O22" i="1"/>
  <c r="S22" i="1"/>
  <c r="I26" i="1"/>
  <c r="J17" i="1"/>
  <c r="J18" i="1"/>
  <c r="J19" i="1"/>
  <c r="N19" i="1"/>
  <c r="J22" i="1"/>
  <c r="J23" i="1"/>
  <c r="J24" i="1"/>
  <c r="J25" i="1"/>
  <c r="J26" i="1"/>
  <c r="K17" i="1"/>
  <c r="K18" i="1"/>
  <c r="K19" i="1"/>
  <c r="K22" i="1"/>
  <c r="K23" i="1"/>
  <c r="K24" i="1"/>
  <c r="K25" i="1"/>
  <c r="K26" i="1"/>
  <c r="L18" i="1"/>
  <c r="L19" i="1"/>
  <c r="L26" i="1"/>
  <c r="M27" i="1"/>
  <c r="N20" i="1"/>
  <c r="O20" i="1"/>
  <c r="S20" i="1"/>
  <c r="N21" i="1"/>
  <c r="N22" i="1"/>
  <c r="O19" i="1"/>
  <c r="P27" i="1"/>
  <c r="Q27" i="1"/>
  <c r="R27" i="1"/>
  <c r="S19" i="1"/>
  <c r="T27" i="1"/>
  <c r="G27" i="1"/>
  <c r="G37" i="1"/>
  <c r="G47" i="1"/>
  <c r="G54" i="1"/>
  <c r="G64" i="1"/>
  <c r="G77" i="1"/>
  <c r="G83" i="1"/>
  <c r="G97" i="1"/>
  <c r="G114" i="1"/>
  <c r="G125" i="1"/>
  <c r="G141" i="1"/>
  <c r="G167" i="1"/>
  <c r="K151" i="1"/>
  <c r="J151" i="1"/>
  <c r="K146" i="1"/>
  <c r="J146" i="1"/>
  <c r="N146" i="1"/>
  <c r="K148" i="1"/>
  <c r="J148" i="1"/>
  <c r="K143" i="1"/>
  <c r="J143" i="1"/>
  <c r="K150" i="1"/>
  <c r="J150" i="1"/>
  <c r="K149" i="1"/>
  <c r="J149" i="1"/>
  <c r="K144" i="1"/>
  <c r="J144" i="1"/>
  <c r="J167" i="1"/>
  <c r="K147" i="1"/>
  <c r="J147" i="1"/>
  <c r="K145" i="1"/>
  <c r="J145" i="1"/>
  <c r="H5" i="7"/>
  <c r="L5" i="7" s="1"/>
  <c r="L6" i="7" s="1"/>
  <c r="K116" i="1"/>
  <c r="K133" i="1"/>
  <c r="J133" i="1"/>
  <c r="N133" i="1"/>
  <c r="O133" i="1"/>
  <c r="S133" i="1"/>
  <c r="J140" i="1"/>
  <c r="K140" i="1"/>
  <c r="K131" i="1"/>
  <c r="J131" i="1"/>
  <c r="J111" i="1"/>
  <c r="K111" i="1"/>
  <c r="K167" i="1"/>
  <c r="P167" i="1"/>
  <c r="Q167" i="1"/>
  <c r="R167" i="1"/>
  <c r="T167" i="1"/>
  <c r="H166" i="1"/>
  <c r="L166" i="1"/>
  <c r="N166" i="1"/>
  <c r="I166" i="1"/>
  <c r="H165" i="1"/>
  <c r="L165" i="1"/>
  <c r="N165" i="1"/>
  <c r="I165" i="1"/>
  <c r="H164" i="1"/>
  <c r="I164" i="1"/>
  <c r="O164" i="1"/>
  <c r="S164" i="1"/>
  <c r="H163" i="1"/>
  <c r="L163" i="1"/>
  <c r="N163" i="1"/>
  <c r="H162" i="1"/>
  <c r="L162" i="1"/>
  <c r="N162" i="1"/>
  <c r="I162" i="1"/>
  <c r="H161" i="1"/>
  <c r="L161" i="1"/>
  <c r="N161" i="1"/>
  <c r="O161" i="1"/>
  <c r="S161" i="1"/>
  <c r="I161" i="1"/>
  <c r="H160" i="1"/>
  <c r="L160" i="1"/>
  <c r="N160" i="1"/>
  <c r="I160" i="1"/>
  <c r="H159" i="1"/>
  <c r="L159" i="1"/>
  <c r="N159" i="1"/>
  <c r="H158" i="1"/>
  <c r="L158" i="1"/>
  <c r="N158" i="1"/>
  <c r="I158" i="1"/>
  <c r="H157" i="1"/>
  <c r="L157" i="1"/>
  <c r="N157" i="1"/>
  <c r="H156" i="1"/>
  <c r="L156" i="1"/>
  <c r="N156" i="1"/>
  <c r="I156" i="1"/>
  <c r="H155" i="1"/>
  <c r="L155" i="1"/>
  <c r="N155" i="1"/>
  <c r="I155" i="1"/>
  <c r="H154" i="1"/>
  <c r="L154" i="1"/>
  <c r="N154" i="1"/>
  <c r="I154" i="1"/>
  <c r="H153" i="1"/>
  <c r="L153" i="1"/>
  <c r="N153" i="1"/>
  <c r="H152" i="1"/>
  <c r="L152" i="1"/>
  <c r="N152" i="1"/>
  <c r="I152" i="1"/>
  <c r="H151" i="1"/>
  <c r="H150" i="1"/>
  <c r="H149" i="1"/>
  <c r="L149" i="1"/>
  <c r="H148" i="1"/>
  <c r="H147" i="1"/>
  <c r="H146" i="1"/>
  <c r="L146" i="1"/>
  <c r="H145" i="1"/>
  <c r="H144" i="1"/>
  <c r="H143" i="1"/>
  <c r="I147" i="1"/>
  <c r="L147" i="1"/>
  <c r="N147" i="1"/>
  <c r="O147" i="1"/>
  <c r="S147" i="1"/>
  <c r="I149" i="1"/>
  <c r="I150" i="1"/>
  <c r="L150" i="1"/>
  <c r="N150" i="1"/>
  <c r="O150" i="1"/>
  <c r="S150" i="1"/>
  <c r="I146" i="1"/>
  <c r="O146" i="1"/>
  <c r="S146" i="1"/>
  <c r="J127" i="1"/>
  <c r="N127" i="1"/>
  <c r="J129" i="1"/>
  <c r="N129" i="1"/>
  <c r="O129" i="1"/>
  <c r="S129" i="1"/>
  <c r="K130" i="1"/>
  <c r="J130" i="1"/>
  <c r="K128" i="1"/>
  <c r="J128" i="1"/>
  <c r="J122" i="1"/>
  <c r="K122" i="1"/>
  <c r="K121" i="1"/>
  <c r="N121" i="1"/>
  <c r="K134" i="1"/>
  <c r="J134" i="1"/>
  <c r="K138" i="1"/>
  <c r="J138" i="1"/>
  <c r="J137" i="1"/>
  <c r="K137" i="1"/>
  <c r="J136" i="1"/>
  <c r="K136" i="1"/>
  <c r="N136" i="1"/>
  <c r="N139" i="1"/>
  <c r="N135" i="1"/>
  <c r="N132" i="1"/>
  <c r="O132" i="1"/>
  <c r="S132" i="1"/>
  <c r="K106" i="1"/>
  <c r="J106" i="1"/>
  <c r="N106" i="1"/>
  <c r="K113" i="1"/>
  <c r="K108" i="1"/>
  <c r="J108" i="1"/>
  <c r="K107" i="1"/>
  <c r="J107" i="1"/>
  <c r="K117" i="1"/>
  <c r="J117" i="1"/>
  <c r="J116" i="1"/>
  <c r="K120" i="1"/>
  <c r="J120" i="1"/>
  <c r="K123" i="1"/>
  <c r="K119" i="1"/>
  <c r="J119" i="1"/>
  <c r="N119" i="1"/>
  <c r="O119" i="1"/>
  <c r="S119" i="1"/>
  <c r="K124" i="1"/>
  <c r="J124" i="1"/>
  <c r="N124" i="1"/>
  <c r="K112" i="1"/>
  <c r="K110" i="1"/>
  <c r="J110" i="1"/>
  <c r="J109" i="1"/>
  <c r="K109" i="1"/>
  <c r="N109" i="1"/>
  <c r="J102" i="1"/>
  <c r="J118" i="1"/>
  <c r="K118" i="1"/>
  <c r="M141" i="1"/>
  <c r="P141" i="1"/>
  <c r="Q141" i="1"/>
  <c r="R141" i="1"/>
  <c r="T141" i="1"/>
  <c r="H140" i="1"/>
  <c r="H139" i="1"/>
  <c r="I139" i="1"/>
  <c r="O139" i="1"/>
  <c r="S139" i="1"/>
  <c r="H138" i="1"/>
  <c r="L138" i="1"/>
  <c r="N138" i="1"/>
  <c r="H137" i="1"/>
  <c r="L137" i="1"/>
  <c r="N137" i="1"/>
  <c r="H136" i="1"/>
  <c r="L136" i="1"/>
  <c r="H135" i="1"/>
  <c r="I135" i="1"/>
  <c r="O135" i="1"/>
  <c r="H134" i="1"/>
  <c r="L134" i="1"/>
  <c r="H133" i="1"/>
  <c r="H132" i="1"/>
  <c r="I132" i="1"/>
  <c r="H131" i="1"/>
  <c r="H130" i="1"/>
  <c r="H129" i="1"/>
  <c r="L129" i="1"/>
  <c r="H128" i="1"/>
  <c r="L128" i="1"/>
  <c r="H127" i="1"/>
  <c r="H141" i="1"/>
  <c r="L127" i="1"/>
  <c r="H172" i="1"/>
  <c r="I172" i="1"/>
  <c r="J172" i="1"/>
  <c r="K172" i="1"/>
  <c r="M125" i="1"/>
  <c r="P125" i="1"/>
  <c r="Q125" i="1"/>
  <c r="R125" i="1"/>
  <c r="H124" i="1"/>
  <c r="I124" i="1"/>
  <c r="H123" i="1"/>
  <c r="I123" i="1"/>
  <c r="H122" i="1"/>
  <c r="H121" i="1"/>
  <c r="L121" i="1"/>
  <c r="I121" i="1"/>
  <c r="H120" i="1"/>
  <c r="H119" i="1"/>
  <c r="L119" i="1"/>
  <c r="H118" i="1"/>
  <c r="L118" i="1"/>
  <c r="H117" i="1"/>
  <c r="L117" i="1"/>
  <c r="H116" i="1"/>
  <c r="I116" i="1"/>
  <c r="J96" i="1"/>
  <c r="J92" i="1"/>
  <c r="J94" i="1"/>
  <c r="J95" i="1"/>
  <c r="N95" i="1"/>
  <c r="J100" i="1"/>
  <c r="J105" i="1"/>
  <c r="J85" i="1"/>
  <c r="J80" i="1"/>
  <c r="J75" i="1"/>
  <c r="Q54" i="1"/>
  <c r="J56" i="1"/>
  <c r="J63" i="1"/>
  <c r="N63" i="1"/>
  <c r="J61" i="1"/>
  <c r="J59" i="1"/>
  <c r="J58" i="1"/>
  <c r="J57" i="1"/>
  <c r="J53" i="1"/>
  <c r="J50" i="1"/>
  <c r="N50" i="1"/>
  <c r="J49" i="1"/>
  <c r="N49" i="1"/>
  <c r="J88" i="1"/>
  <c r="J89" i="1"/>
  <c r="N89" i="1"/>
  <c r="O89" i="1"/>
  <c r="S89" i="1"/>
  <c r="J87" i="1"/>
  <c r="AE92" i="1"/>
  <c r="AG91" i="1"/>
  <c r="AD90" i="1"/>
  <c r="AC90" i="1"/>
  <c r="Z90" i="1"/>
  <c r="AB90" i="1"/>
  <c r="AA90" i="1"/>
  <c r="AD89" i="1"/>
  <c r="AD92" i="1"/>
  <c r="Z89" i="1"/>
  <c r="AB89" i="1"/>
  <c r="AF89" i="1"/>
  <c r="AD88" i="1"/>
  <c r="AC88" i="1"/>
  <c r="Z88" i="1"/>
  <c r="AA88" i="1"/>
  <c r="AA87" i="1"/>
  <c r="AF87" i="1"/>
  <c r="M114" i="1"/>
  <c r="P114" i="1"/>
  <c r="Q114" i="1"/>
  <c r="R114" i="1"/>
  <c r="H106" i="1"/>
  <c r="I106" i="1"/>
  <c r="H107" i="1"/>
  <c r="L107" i="1"/>
  <c r="N107" i="1"/>
  <c r="I107" i="1"/>
  <c r="H108" i="1"/>
  <c r="I108" i="1"/>
  <c r="O108" i="1"/>
  <c r="S108" i="1"/>
  <c r="H109" i="1"/>
  <c r="I109" i="1"/>
  <c r="H110" i="1"/>
  <c r="I110" i="1"/>
  <c r="H111" i="1"/>
  <c r="H112" i="1"/>
  <c r="I112" i="1"/>
  <c r="H113" i="1"/>
  <c r="I113" i="1"/>
  <c r="O113" i="1"/>
  <c r="S113" i="1"/>
  <c r="K86" i="1"/>
  <c r="H79" i="1"/>
  <c r="I79" i="1"/>
  <c r="J86" i="1"/>
  <c r="J90" i="1"/>
  <c r="J91" i="1"/>
  <c r="J76" i="1"/>
  <c r="J67" i="1"/>
  <c r="K69" i="1"/>
  <c r="J69" i="1"/>
  <c r="K66" i="1"/>
  <c r="J66" i="1"/>
  <c r="J39" i="1"/>
  <c r="J44" i="1"/>
  <c r="J42" i="1"/>
  <c r="J43" i="1"/>
  <c r="J41" i="1"/>
  <c r="P37" i="1"/>
  <c r="J33" i="1"/>
  <c r="J29" i="1"/>
  <c r="K9" i="1"/>
  <c r="J9" i="1"/>
  <c r="H9" i="1"/>
  <c r="I9" i="1"/>
  <c r="K14" i="1"/>
  <c r="J14" i="1"/>
  <c r="H14" i="1"/>
  <c r="K10" i="1"/>
  <c r="J10" i="1"/>
  <c r="H10" i="1"/>
  <c r="I10" i="1"/>
  <c r="H11" i="1"/>
  <c r="L11" i="1"/>
  <c r="I11" i="1"/>
  <c r="K13" i="1"/>
  <c r="J13" i="1"/>
  <c r="N13" i="1"/>
  <c r="H13" i="1"/>
  <c r="L13" i="1"/>
  <c r="K12" i="1"/>
  <c r="J12" i="1"/>
  <c r="H12" i="1"/>
  <c r="I12" i="1"/>
  <c r="K11" i="1"/>
  <c r="J11" i="1"/>
  <c r="K8" i="1"/>
  <c r="N8" i="1"/>
  <c r="O8" i="1"/>
  <c r="S8" i="1"/>
  <c r="J8" i="1"/>
  <c r="H8" i="1"/>
  <c r="L8" i="1"/>
  <c r="K7" i="1"/>
  <c r="J7" i="1"/>
  <c r="H7" i="1"/>
  <c r="I7" i="1"/>
  <c r="L7" i="1"/>
  <c r="K6" i="1"/>
  <c r="N6" i="1"/>
  <c r="J6" i="1"/>
  <c r="H6" i="1"/>
  <c r="L6" i="1"/>
  <c r="K5" i="1"/>
  <c r="J5" i="1"/>
  <c r="H5" i="1"/>
  <c r="I5" i="1"/>
  <c r="O5" i="1"/>
  <c r="S5" i="1"/>
  <c r="M83" i="1"/>
  <c r="P83" i="1"/>
  <c r="Q83" i="1"/>
  <c r="R83" i="1"/>
  <c r="H82" i="1"/>
  <c r="I82" i="1"/>
  <c r="O82" i="1"/>
  <c r="S82" i="1"/>
  <c r="K105" i="1"/>
  <c r="H105" i="1"/>
  <c r="L105" i="1"/>
  <c r="I105" i="1"/>
  <c r="O105" i="1"/>
  <c r="S105" i="1"/>
  <c r="K104" i="1"/>
  <c r="H104" i="1"/>
  <c r="I104" i="1"/>
  <c r="H103" i="1"/>
  <c r="I103" i="1"/>
  <c r="K102" i="1"/>
  <c r="H102" i="1"/>
  <c r="I102" i="1"/>
  <c r="K101" i="1"/>
  <c r="H101" i="1"/>
  <c r="I101" i="1"/>
  <c r="K100" i="1"/>
  <c r="K114" i="1"/>
  <c r="H100" i="1"/>
  <c r="L100" i="1"/>
  <c r="K99" i="1"/>
  <c r="H99" i="1"/>
  <c r="M97" i="1"/>
  <c r="P97" i="1"/>
  <c r="Q97" i="1"/>
  <c r="R97" i="1"/>
  <c r="K96" i="1"/>
  <c r="H96" i="1"/>
  <c r="L96" i="1"/>
  <c r="K95" i="1"/>
  <c r="H95" i="1"/>
  <c r="I95" i="1"/>
  <c r="K94" i="1"/>
  <c r="H94" i="1"/>
  <c r="H93" i="1"/>
  <c r="I93" i="1"/>
  <c r="O93" i="1"/>
  <c r="S93" i="1"/>
  <c r="K92" i="1"/>
  <c r="H92" i="1"/>
  <c r="I92" i="1"/>
  <c r="K91" i="1"/>
  <c r="H91" i="1"/>
  <c r="L91" i="1"/>
  <c r="N91" i="1"/>
  <c r="I91" i="1"/>
  <c r="O91" i="1"/>
  <c r="S91" i="1"/>
  <c r="H90" i="1"/>
  <c r="K89" i="1"/>
  <c r="H89" i="1"/>
  <c r="I89" i="1"/>
  <c r="H66" i="1"/>
  <c r="I66" i="1"/>
  <c r="H67" i="1"/>
  <c r="I67" i="1"/>
  <c r="K67" i="1"/>
  <c r="H68" i="1"/>
  <c r="J68" i="1"/>
  <c r="K68" i="1"/>
  <c r="H69" i="1"/>
  <c r="L69" i="1"/>
  <c r="I69" i="1"/>
  <c r="H70" i="1"/>
  <c r="L70" i="1"/>
  <c r="I70" i="1"/>
  <c r="K70" i="1"/>
  <c r="H71" i="1"/>
  <c r="K71" i="1"/>
  <c r="H72" i="1"/>
  <c r="I72" i="1"/>
  <c r="K72" i="1"/>
  <c r="N72" i="1"/>
  <c r="O72" i="1"/>
  <c r="H73" i="1"/>
  <c r="L73" i="1"/>
  <c r="I73" i="1"/>
  <c r="K73" i="1"/>
  <c r="H74" i="1"/>
  <c r="K74" i="1"/>
  <c r="H75" i="1"/>
  <c r="K75" i="1"/>
  <c r="H76" i="1"/>
  <c r="L76" i="1"/>
  <c r="I76" i="1"/>
  <c r="K76" i="1"/>
  <c r="K77" i="1"/>
  <c r="M77" i="1"/>
  <c r="P77" i="1"/>
  <c r="Q77" i="1"/>
  <c r="R77" i="1"/>
  <c r="K88" i="1"/>
  <c r="H88" i="1"/>
  <c r="I88" i="1"/>
  <c r="K87" i="1"/>
  <c r="H87" i="1"/>
  <c r="I87" i="1"/>
  <c r="H86" i="1"/>
  <c r="I86" i="1"/>
  <c r="K85" i="1"/>
  <c r="H85" i="1"/>
  <c r="I85" i="1"/>
  <c r="K81" i="1"/>
  <c r="H81" i="1"/>
  <c r="K80" i="1"/>
  <c r="H80" i="1"/>
  <c r="I80" i="1"/>
  <c r="K79" i="1"/>
  <c r="M64" i="1"/>
  <c r="P64" i="1"/>
  <c r="Q64" i="1"/>
  <c r="R64" i="1"/>
  <c r="K63" i="1"/>
  <c r="H63" i="1"/>
  <c r="H62" i="1"/>
  <c r="I62" i="1"/>
  <c r="K61" i="1"/>
  <c r="H61" i="1"/>
  <c r="H60" i="1"/>
  <c r="I60" i="1"/>
  <c r="K59" i="1"/>
  <c r="H59" i="1"/>
  <c r="I59" i="1"/>
  <c r="K58" i="1"/>
  <c r="H58" i="1"/>
  <c r="K57" i="1"/>
  <c r="H57" i="1"/>
  <c r="I57" i="1"/>
  <c r="M54" i="1"/>
  <c r="P54" i="1"/>
  <c r="R54" i="1"/>
  <c r="K56" i="1"/>
  <c r="H56" i="1"/>
  <c r="I56" i="1"/>
  <c r="K53" i="1"/>
  <c r="H53" i="1"/>
  <c r="I53" i="1"/>
  <c r="H52" i="1"/>
  <c r="I52" i="1"/>
  <c r="O52" i="1"/>
  <c r="S52" i="1"/>
  <c r="H51" i="1"/>
  <c r="I51" i="1"/>
  <c r="K50" i="1"/>
  <c r="H50" i="1"/>
  <c r="I50" i="1"/>
  <c r="O50" i="1"/>
  <c r="S50" i="1"/>
  <c r="R47" i="1"/>
  <c r="Q47" i="1"/>
  <c r="P47" i="1"/>
  <c r="M47" i="1"/>
  <c r="K49" i="1"/>
  <c r="H49" i="1"/>
  <c r="I49" i="1"/>
  <c r="O49" i="1"/>
  <c r="S49" i="1"/>
  <c r="H46" i="1"/>
  <c r="I46" i="1"/>
  <c r="H45" i="1"/>
  <c r="I45" i="1"/>
  <c r="O45" i="1"/>
  <c r="S45" i="1"/>
  <c r="K44" i="1"/>
  <c r="H44" i="1"/>
  <c r="I44" i="1"/>
  <c r="K43" i="1"/>
  <c r="H43" i="1"/>
  <c r="I43" i="1"/>
  <c r="K42" i="1"/>
  <c r="H42" i="1"/>
  <c r="L42" i="1"/>
  <c r="I42" i="1"/>
  <c r="K41" i="1"/>
  <c r="H41" i="1"/>
  <c r="H40" i="1"/>
  <c r="M37" i="1"/>
  <c r="Q37" i="1"/>
  <c r="R37" i="1"/>
  <c r="K39" i="1"/>
  <c r="K47" i="1"/>
  <c r="H39" i="1"/>
  <c r="K36" i="1"/>
  <c r="J36" i="1"/>
  <c r="H36" i="1"/>
  <c r="I36" i="1"/>
  <c r="H35" i="1"/>
  <c r="L35" i="1"/>
  <c r="I35" i="1"/>
  <c r="O35" i="1"/>
  <c r="K34" i="1"/>
  <c r="N34" i="1"/>
  <c r="O34" i="1"/>
  <c r="S34" i="1"/>
  <c r="J34" i="1"/>
  <c r="H34" i="1"/>
  <c r="I34" i="1"/>
  <c r="K33" i="1"/>
  <c r="H33" i="1"/>
  <c r="L33" i="1"/>
  <c r="N33" i="1"/>
  <c r="H32" i="1"/>
  <c r="I32" i="1"/>
  <c r="O32" i="1"/>
  <c r="S32" i="1"/>
  <c r="K31" i="1"/>
  <c r="J31" i="1"/>
  <c r="H31" i="1"/>
  <c r="I31" i="1"/>
  <c r="K30" i="1"/>
  <c r="J30" i="1"/>
  <c r="H30" i="1"/>
  <c r="K29" i="1"/>
  <c r="H29" i="1"/>
  <c r="I29" i="1"/>
  <c r="I13" i="1"/>
  <c r="O13" i="1"/>
  <c r="S13" i="1"/>
  <c r="L124" i="1"/>
  <c r="L123" i="1"/>
  <c r="N123" i="1"/>
  <c r="L172" i="1"/>
  <c r="N172" i="1"/>
  <c r="I118" i="1"/>
  <c r="N73" i="1"/>
  <c r="I8" i="1"/>
  <c r="L80" i="1"/>
  <c r="N80" i="1"/>
  <c r="O80" i="1"/>
  <c r="S80" i="1"/>
  <c r="L44" i="1"/>
  <c r="N44" i="1"/>
  <c r="L79" i="1"/>
  <c r="N79" i="1"/>
  <c r="I6" i="1"/>
  <c r="N35" i="1"/>
  <c r="K54" i="1"/>
  <c r="L49" i="1"/>
  <c r="L52" i="1"/>
  <c r="N52" i="1"/>
  <c r="L86" i="1"/>
  <c r="N86" i="1"/>
  <c r="O86" i="1"/>
  <c r="S86" i="1"/>
  <c r="J54" i="1"/>
  <c r="I63" i="1"/>
  <c r="O63" i="1"/>
  <c r="S63" i="1"/>
  <c r="L63" i="1"/>
  <c r="J83" i="1"/>
  <c r="L60" i="1"/>
  <c r="N60" i="1"/>
  <c r="I133" i="1"/>
  <c r="L133" i="1"/>
  <c r="H83" i="1"/>
  <c r="L104" i="1"/>
  <c r="N104" i="1"/>
  <c r="L10" i="1"/>
  <c r="N45" i="1"/>
  <c r="L9" i="1"/>
  <c r="N9" i="1"/>
  <c r="O9" i="1"/>
  <c r="S9" i="1"/>
  <c r="N82" i="1"/>
  <c r="L57" i="1"/>
  <c r="N93" i="1"/>
  <c r="L53" i="1"/>
  <c r="N53" i="1"/>
  <c r="L50" i="1"/>
  <c r="L51" i="1"/>
  <c r="N51" i="1"/>
  <c r="O51" i="1"/>
  <c r="S51" i="1"/>
  <c r="O124" i="1"/>
  <c r="S124" i="1"/>
  <c r="L5" i="1"/>
  <c r="N5" i="1"/>
  <c r="L36" i="1"/>
  <c r="N36" i="1"/>
  <c r="O36" i="1"/>
  <c r="S36" i="1"/>
  <c r="L34" i="1"/>
  <c r="N62" i="1"/>
  <c r="L102" i="1"/>
  <c r="N102" i="1"/>
  <c r="O102" i="1"/>
  <c r="S102" i="1"/>
  <c r="L85" i="1"/>
  <c r="L89" i="1"/>
  <c r="L72" i="1"/>
  <c r="S72" i="1"/>
  <c r="K97" i="1"/>
  <c r="I128" i="1"/>
  <c r="I129" i="1"/>
  <c r="L95" i="1"/>
  <c r="O95" i="1"/>
  <c r="S95" i="1"/>
  <c r="N96" i="1"/>
  <c r="L56" i="1"/>
  <c r="L92" i="1"/>
  <c r="N92" i="1"/>
  <c r="O92" i="1"/>
  <c r="S92" i="1"/>
  <c r="L43" i="1"/>
  <c r="N43" i="1"/>
  <c r="L66" i="1"/>
  <c r="N66" i="1"/>
  <c r="L12" i="1"/>
  <c r="N12" i="1"/>
  <c r="O12" i="1"/>
  <c r="S12" i="1"/>
  <c r="I119" i="1"/>
  <c r="AB88" i="1"/>
  <c r="L113" i="1"/>
  <c r="N113" i="1"/>
  <c r="L116" i="1"/>
  <c r="O107" i="1"/>
  <c r="S107" i="1"/>
  <c r="L109" i="1"/>
  <c r="O109" i="1"/>
  <c r="S109" i="1"/>
  <c r="J77" i="1"/>
  <c r="O73" i="1"/>
  <c r="S73" i="1"/>
  <c r="O62" i="1"/>
  <c r="S62" i="1"/>
  <c r="N32" i="1"/>
  <c r="O60" i="1"/>
  <c r="S60" i="1"/>
  <c r="L101" i="1"/>
  <c r="L87" i="1"/>
  <c r="O6" i="1"/>
  <c r="S6" i="1"/>
  <c r="AA89" i="1"/>
  <c r="L31" i="1"/>
  <c r="I40" i="1"/>
  <c r="I41" i="1"/>
  <c r="L41" i="1"/>
  <c r="I58" i="1"/>
  <c r="L58" i="1"/>
  <c r="I71" i="1"/>
  <c r="O71" i="1"/>
  <c r="S71" i="1"/>
  <c r="L71" i="1"/>
  <c r="J97" i="1"/>
  <c r="AF90" i="1"/>
  <c r="N105" i="1"/>
  <c r="L122" i="1"/>
  <c r="N122" i="1"/>
  <c r="I122" i="1"/>
  <c r="L59" i="1"/>
  <c r="N103" i="1"/>
  <c r="O103" i="1"/>
  <c r="S103" i="1"/>
  <c r="N76" i="1"/>
  <c r="L106" i="1"/>
  <c r="L110" i="1"/>
  <c r="N110" i="1"/>
  <c r="O110" i="1"/>
  <c r="S110" i="1"/>
  <c r="L108" i="1"/>
  <c r="N108" i="1"/>
  <c r="I30" i="1"/>
  <c r="O30" i="1"/>
  <c r="S30" i="1"/>
  <c r="L30" i="1"/>
  <c r="I33" i="1"/>
  <c r="O33" i="1"/>
  <c r="S33" i="1"/>
  <c r="N46" i="1"/>
  <c r="K64" i="1"/>
  <c r="I75" i="1"/>
  <c r="L75" i="1"/>
  <c r="I74" i="1"/>
  <c r="L74" i="1"/>
  <c r="N74" i="1"/>
  <c r="O74" i="1"/>
  <c r="S74" i="1"/>
  <c r="N101" i="1"/>
  <c r="L130" i="1"/>
  <c r="N130" i="1"/>
  <c r="O130" i="1"/>
  <c r="S130" i="1"/>
  <c r="I130" i="1"/>
  <c r="N57" i="1"/>
  <c r="O57" i="1"/>
  <c r="S57" i="1"/>
  <c r="N56" i="1"/>
  <c r="O123" i="1"/>
  <c r="S123" i="1"/>
  <c r="I134" i="1"/>
  <c r="I136" i="1"/>
  <c r="I137" i="1"/>
  <c r="O137" i="1"/>
  <c r="S137" i="1"/>
  <c r="I138" i="1"/>
  <c r="O138" i="1"/>
  <c r="S135" i="1"/>
  <c r="AB92" i="1"/>
  <c r="O46" i="1"/>
  <c r="O48" i="1"/>
  <c r="O56" i="1"/>
  <c r="S56" i="1"/>
  <c r="N30" i="1"/>
  <c r="N71" i="1"/>
  <c r="N58" i="1"/>
  <c r="O58" i="1"/>
  <c r="S58" i="1"/>
  <c r="N40" i="1"/>
  <c r="O40" i="1"/>
  <c r="S40" i="1"/>
  <c r="S138" i="1"/>
  <c r="M167" i="1"/>
  <c r="S35" i="1"/>
  <c r="O38" i="1"/>
  <c r="O134" i="1"/>
  <c r="S134" i="1"/>
  <c r="N141" i="1"/>
  <c r="O101" i="1"/>
  <c r="S101" i="1"/>
  <c r="N116" i="1"/>
  <c r="J125" i="1"/>
  <c r="N25" i="1"/>
  <c r="O25" i="1"/>
  <c r="S25" i="1"/>
  <c r="N100" i="1"/>
  <c r="N117" i="1"/>
  <c r="N54" i="1"/>
  <c r="N87" i="1"/>
  <c r="O87" i="1"/>
  <c r="S87" i="1"/>
  <c r="AF92" i="1"/>
  <c r="AF93" i="1"/>
  <c r="N88" i="1"/>
  <c r="O88" i="1"/>
  <c r="S88" i="1"/>
  <c r="L140" i="1"/>
  <c r="N140" i="1"/>
  <c r="I140" i="1"/>
  <c r="O140" i="1"/>
  <c r="S140" i="1"/>
  <c r="N118" i="1"/>
  <c r="J37" i="1"/>
  <c r="N31" i="1"/>
  <c r="O31" i="1"/>
  <c r="S31" i="1"/>
  <c r="N26" i="1"/>
  <c r="O26" i="1"/>
  <c r="S26" i="1"/>
  <c r="J27" i="1"/>
  <c r="I127" i="1"/>
  <c r="L29" i="1"/>
  <c r="L37" i="1"/>
  <c r="H37" i="1"/>
  <c r="L94" i="1"/>
  <c r="N94" i="1"/>
  <c r="I94" i="1"/>
  <c r="N61" i="1"/>
  <c r="I81" i="1"/>
  <c r="L81" i="1"/>
  <c r="O76" i="1"/>
  <c r="S76" i="1"/>
  <c r="L67" i="1"/>
  <c r="L77" i="1"/>
  <c r="H77" i="1"/>
  <c r="L14" i="1"/>
  <c r="N14" i="1"/>
  <c r="I14" i="1"/>
  <c r="N69" i="1"/>
  <c r="L25" i="1"/>
  <c r="L141" i="1"/>
  <c r="O121" i="1"/>
  <c r="S121" i="1"/>
  <c r="I37" i="1"/>
  <c r="O53" i="1"/>
  <c r="S53" i="1"/>
  <c r="S54" i="1"/>
  <c r="N81" i="1"/>
  <c r="N83" i="1"/>
  <c r="K83" i="1"/>
  <c r="H97" i="1"/>
  <c r="L88" i="1"/>
  <c r="L97" i="1"/>
  <c r="O69" i="1"/>
  <c r="S69" i="1"/>
  <c r="O66" i="1"/>
  <c r="N41" i="1"/>
  <c r="O41" i="1"/>
  <c r="S41" i="1"/>
  <c r="J47" i="1"/>
  <c r="I83" i="1"/>
  <c r="O79" i="1"/>
  <c r="I131" i="1"/>
  <c r="L131" i="1"/>
  <c r="N131" i="1"/>
  <c r="N134" i="1"/>
  <c r="O165" i="1"/>
  <c r="S165" i="1"/>
  <c r="L24" i="1"/>
  <c r="L39" i="1"/>
  <c r="L47" i="1"/>
  <c r="I39" i="1"/>
  <c r="H47" i="1"/>
  <c r="H27" i="1"/>
  <c r="I17" i="1"/>
  <c r="L17" i="1"/>
  <c r="N17" i="1"/>
  <c r="N27" i="1"/>
  <c r="N42" i="1"/>
  <c r="O42" i="1"/>
  <c r="S42" i="1"/>
  <c r="J141" i="1"/>
  <c r="O24" i="1"/>
  <c r="S24" i="1"/>
  <c r="O118" i="1"/>
  <c r="S118" i="1"/>
  <c r="L90" i="1"/>
  <c r="N90" i="1"/>
  <c r="I90" i="1"/>
  <c r="O90" i="1"/>
  <c r="S90" i="1"/>
  <c r="H125" i="1"/>
  <c r="I117" i="1"/>
  <c r="N24" i="1"/>
  <c r="O136" i="1"/>
  <c r="S136" i="1"/>
  <c r="J114" i="1"/>
  <c r="S46" i="1"/>
  <c r="O172" i="1"/>
  <c r="L61" i="1"/>
  <c r="L64" i="1"/>
  <c r="I61" i="1"/>
  <c r="H64" i="1"/>
  <c r="N75" i="1"/>
  <c r="O75" i="1"/>
  <c r="S75" i="1"/>
  <c r="O104" i="1"/>
  <c r="S104" i="1"/>
  <c r="N11" i="1"/>
  <c r="O11" i="1"/>
  <c r="S11" i="1"/>
  <c r="I145" i="1"/>
  <c r="L145" i="1"/>
  <c r="N145" i="1"/>
  <c r="H167" i="1"/>
  <c r="K125" i="1"/>
  <c r="N149" i="1"/>
  <c r="K27" i="1"/>
  <c r="I23" i="1"/>
  <c r="L23" i="1"/>
  <c r="N23" i="1"/>
  <c r="K37" i="1"/>
  <c r="O43" i="1"/>
  <c r="S43" i="1"/>
  <c r="J64" i="1"/>
  <c r="O158" i="1"/>
  <c r="S158" i="1"/>
  <c r="N29" i="1"/>
  <c r="N37" i="1"/>
  <c r="L112" i="1"/>
  <c r="N112" i="1"/>
  <c r="O112" i="1"/>
  <c r="S112" i="1"/>
  <c r="I54" i="1"/>
  <c r="I99" i="1"/>
  <c r="L99" i="1"/>
  <c r="N7" i="1"/>
  <c r="O7" i="1"/>
  <c r="S7" i="1"/>
  <c r="I111" i="1"/>
  <c r="O111" i="1"/>
  <c r="S111" i="1"/>
  <c r="L111" i="1"/>
  <c r="O106" i="1"/>
  <c r="S106" i="1"/>
  <c r="AF88" i="1"/>
  <c r="I148" i="1"/>
  <c r="O148" i="1"/>
  <c r="S148" i="1"/>
  <c r="L148" i="1"/>
  <c r="N148" i="1"/>
  <c r="O154" i="1"/>
  <c r="S154" i="1"/>
  <c r="I159" i="1"/>
  <c r="O159" i="1"/>
  <c r="S159" i="1"/>
  <c r="I163" i="1"/>
  <c r="O163" i="1"/>
  <c r="S163" i="1"/>
  <c r="O166" i="1"/>
  <c r="S166" i="1"/>
  <c r="N111" i="1"/>
  <c r="O122" i="1"/>
  <c r="S122" i="1"/>
  <c r="H114" i="1"/>
  <c r="N85" i="1"/>
  <c r="I96" i="1"/>
  <c r="O96" i="1"/>
  <c r="S96" i="1"/>
  <c r="N39" i="1"/>
  <c r="N47" i="1"/>
  <c r="K141" i="1"/>
  <c r="N128" i="1"/>
  <c r="O149" i="1"/>
  <c r="S149" i="1"/>
  <c r="L143" i="1"/>
  <c r="I143" i="1"/>
  <c r="AA92" i="1"/>
  <c r="O162" i="1"/>
  <c r="S162" i="1"/>
  <c r="H54" i="1"/>
  <c r="O44" i="1"/>
  <c r="S44" i="1"/>
  <c r="I68" i="1"/>
  <c r="L68" i="1"/>
  <c r="N68" i="1"/>
  <c r="I100" i="1"/>
  <c r="O100" i="1"/>
  <c r="S100" i="1"/>
  <c r="N10" i="1"/>
  <c r="O10" i="1"/>
  <c r="S10" i="1"/>
  <c r="AC92" i="1"/>
  <c r="L144" i="1"/>
  <c r="N144" i="1"/>
  <c r="I144" i="1"/>
  <c r="O144" i="1"/>
  <c r="S144" i="1"/>
  <c r="O155" i="1"/>
  <c r="S155" i="1"/>
  <c r="N18" i="1"/>
  <c r="O18" i="1"/>
  <c r="S18" i="1"/>
  <c r="O128" i="1"/>
  <c r="S128" i="1"/>
  <c r="L54" i="1"/>
  <c r="L83" i="1"/>
  <c r="N59" i="1"/>
  <c r="O59" i="1"/>
  <c r="N70" i="1"/>
  <c r="O70" i="1"/>
  <c r="S70" i="1"/>
  <c r="I120" i="1"/>
  <c r="L120" i="1"/>
  <c r="N120" i="1"/>
  <c r="I151" i="1"/>
  <c r="L151" i="1"/>
  <c r="N151" i="1"/>
  <c r="O152" i="1"/>
  <c r="S152" i="1"/>
  <c r="O156" i="1"/>
  <c r="S156" i="1"/>
  <c r="O160" i="1"/>
  <c r="S160" i="1"/>
  <c r="I153" i="1"/>
  <c r="O153" i="1"/>
  <c r="S153" i="1"/>
  <c r="I157" i="1"/>
  <c r="O157" i="1"/>
  <c r="S157" i="1"/>
  <c r="S59" i="1"/>
  <c r="O64" i="1"/>
  <c r="I114" i="1"/>
  <c r="O39" i="1"/>
  <c r="I47" i="1"/>
  <c r="O94" i="1"/>
  <c r="S94" i="1"/>
  <c r="N125" i="1"/>
  <c r="O116" i="1"/>
  <c r="N67" i="1"/>
  <c r="O68" i="1"/>
  <c r="S68" i="1"/>
  <c r="I167" i="1"/>
  <c r="N99" i="1"/>
  <c r="N114" i="1"/>
  <c r="L114" i="1"/>
  <c r="O29" i="1"/>
  <c r="I97" i="1"/>
  <c r="O17" i="1"/>
  <c r="I27" i="1"/>
  <c r="O23" i="1"/>
  <c r="S23" i="1"/>
  <c r="O85" i="1"/>
  <c r="N97" i="1"/>
  <c r="N143" i="1"/>
  <c r="N167" i="1"/>
  <c r="L167" i="1"/>
  <c r="O99" i="1"/>
  <c r="S99" i="1"/>
  <c r="O61" i="1"/>
  <c r="S61" i="1"/>
  <c r="I125" i="1"/>
  <c r="O117" i="1"/>
  <c r="S117" i="1"/>
  <c r="N64" i="1"/>
  <c r="L125" i="1"/>
  <c r="S172" i="1"/>
  <c r="S114" i="1"/>
  <c r="I77" i="1"/>
  <c r="O54" i="1"/>
  <c r="O81" i="1"/>
  <c r="S81" i="1"/>
  <c r="I141" i="1"/>
  <c r="O127" i="1"/>
  <c r="O120" i="1"/>
  <c r="S120" i="1"/>
  <c r="S79" i="1"/>
  <c r="S83" i="1"/>
  <c r="L27" i="1"/>
  <c r="O151" i="1"/>
  <c r="S151" i="1"/>
  <c r="O145" i="1"/>
  <c r="S145" i="1"/>
  <c r="I64" i="1"/>
  <c r="O131" i="1"/>
  <c r="S131" i="1"/>
  <c r="S66" i="1"/>
  <c r="O14" i="1"/>
  <c r="S14" i="1"/>
  <c r="O37" i="1"/>
  <c r="S29" i="1"/>
  <c r="S37" i="1"/>
  <c r="O143" i="1"/>
  <c r="O141" i="1"/>
  <c r="S127" i="1"/>
  <c r="S141" i="1"/>
  <c r="O125" i="1"/>
  <c r="S116" i="1"/>
  <c r="S125" i="1"/>
  <c r="S85" i="1"/>
  <c r="S97" i="1"/>
  <c r="O97" i="1"/>
  <c r="S39" i="1"/>
  <c r="S47" i="1"/>
  <c r="O47" i="1"/>
  <c r="O83" i="1"/>
  <c r="O114" i="1"/>
  <c r="S17" i="1"/>
  <c r="S27" i="1"/>
  <c r="O27" i="1"/>
  <c r="N77" i="1"/>
  <c r="O67" i="1"/>
  <c r="S64" i="1"/>
  <c r="S67" i="1"/>
  <c r="S77" i="1"/>
  <c r="O77" i="1"/>
  <c r="S143" i="1"/>
  <c r="S167" i="1"/>
  <c r="O167" i="1"/>
  <c r="H144" i="9"/>
  <c r="J136" i="9"/>
  <c r="H136" i="9"/>
  <c r="N66" i="9"/>
  <c r="O36" i="9"/>
  <c r="S36" i="9"/>
  <c r="N52" i="9"/>
  <c r="K130" i="9"/>
  <c r="J12" i="9"/>
  <c r="I113" i="9"/>
  <c r="I117" i="9"/>
  <c r="N46" i="9"/>
  <c r="J130" i="9"/>
  <c r="N93" i="9"/>
  <c r="K12" i="9"/>
  <c r="I119" i="9"/>
  <c r="H130" i="9"/>
  <c r="I134" i="9"/>
  <c r="N63" i="9"/>
  <c r="I104" i="9"/>
  <c r="I109" i="9"/>
  <c r="AA82" i="9"/>
  <c r="AF82" i="9"/>
  <c r="I118" i="9"/>
  <c r="I120" i="9"/>
  <c r="H12" i="9"/>
  <c r="I32" i="9"/>
  <c r="L98" i="9"/>
  <c r="N98" i="9"/>
  <c r="O98" i="9"/>
  <c r="S98" i="9"/>
  <c r="O99" i="9"/>
  <c r="S99" i="9"/>
  <c r="I21" i="9"/>
  <c r="O141" i="9"/>
  <c r="L31" i="9"/>
  <c r="N31" i="9"/>
  <c r="I61" i="9"/>
  <c r="O69" i="9"/>
  <c r="S69" i="9"/>
  <c r="O77" i="9"/>
  <c r="S77" i="9"/>
  <c r="I97" i="9"/>
  <c r="O132" i="9"/>
  <c r="L35" i="9"/>
  <c r="N35" i="9"/>
  <c r="O35" i="9"/>
  <c r="S35" i="9"/>
  <c r="L64" i="9"/>
  <c r="N64" i="9"/>
  <c r="O64" i="9"/>
  <c r="S64" i="9"/>
  <c r="O101" i="9"/>
  <c r="S101" i="9"/>
  <c r="L110" i="9"/>
  <c r="N110" i="9"/>
  <c r="O110" i="9"/>
  <c r="S110" i="9"/>
  <c r="L125" i="9"/>
  <c r="N125" i="9"/>
  <c r="O125" i="9"/>
  <c r="S125" i="9"/>
  <c r="N129" i="9"/>
  <c r="L33" i="9"/>
  <c r="N33" i="9"/>
  <c r="O33" i="9"/>
  <c r="S33" i="9"/>
  <c r="L92" i="9"/>
  <c r="N92" i="9"/>
  <c r="O92" i="9"/>
  <c r="S92" i="9"/>
  <c r="I70" i="9"/>
  <c r="I78" i="9"/>
  <c r="N102" i="9"/>
  <c r="N119" i="9"/>
  <c r="O119" i="9"/>
  <c r="S119" i="9"/>
  <c r="O37" i="9"/>
  <c r="S37" i="9"/>
  <c r="N53" i="9"/>
  <c r="N60" i="9"/>
  <c r="O17" i="9"/>
  <c r="S17" i="9"/>
  <c r="L72" i="9"/>
  <c r="N72" i="9"/>
  <c r="O72" i="9"/>
  <c r="S72" i="9"/>
  <c r="N91" i="9"/>
  <c r="N103" i="9"/>
  <c r="I60" i="9"/>
  <c r="I100" i="9"/>
  <c r="I34" i="9"/>
  <c r="L54" i="9"/>
  <c r="N54" i="9"/>
  <c r="O54" i="9"/>
  <c r="S54" i="9"/>
  <c r="I71" i="9"/>
  <c r="I111" i="9"/>
  <c r="L112" i="9"/>
  <c r="N112" i="9"/>
  <c r="O112" i="9"/>
  <c r="S112" i="9"/>
  <c r="I124" i="9"/>
  <c r="I102" i="9"/>
  <c r="N34" i="9"/>
  <c r="AA80" i="9"/>
  <c r="AF80" i="9"/>
  <c r="O105" i="9"/>
  <c r="S105" i="9"/>
  <c r="I126" i="9"/>
  <c r="L116" i="9"/>
  <c r="N116" i="9"/>
  <c r="O116" i="9"/>
  <c r="S116" i="9"/>
  <c r="N75" i="9"/>
  <c r="I40" i="9"/>
  <c r="O40" i="9"/>
  <c r="S40" i="9"/>
  <c r="N61" i="9"/>
  <c r="AC84" i="9"/>
  <c r="I96" i="9"/>
  <c r="I19" i="9"/>
  <c r="N57" i="9"/>
  <c r="I53" i="9"/>
  <c r="I56" i="9"/>
  <c r="AD84" i="9"/>
  <c r="N96" i="9"/>
  <c r="I23" i="9"/>
  <c r="N28" i="9"/>
  <c r="N65" i="9"/>
  <c r="N68" i="9"/>
  <c r="I94" i="9"/>
  <c r="N104" i="9"/>
  <c r="N19" i="9"/>
  <c r="N21" i="9"/>
  <c r="N23" i="9"/>
  <c r="L38" i="9"/>
  <c r="N38" i="9"/>
  <c r="O38" i="9"/>
  <c r="N50" i="9"/>
  <c r="N70" i="9"/>
  <c r="L88" i="9"/>
  <c r="N88" i="9"/>
  <c r="O88" i="9"/>
  <c r="S88" i="9"/>
  <c r="L90" i="9"/>
  <c r="N90" i="9"/>
  <c r="O90" i="9"/>
  <c r="S90" i="9"/>
  <c r="L9" i="9"/>
  <c r="N9" i="9"/>
  <c r="O9" i="9"/>
  <c r="S9" i="9"/>
  <c r="N134" i="9"/>
  <c r="I103" i="9"/>
  <c r="N109" i="9"/>
  <c r="I114" i="9"/>
  <c r="L10" i="9"/>
  <c r="N10" i="9"/>
  <c r="O10" i="9"/>
  <c r="S10" i="9"/>
  <c r="I121" i="9"/>
  <c r="L122" i="9"/>
  <c r="N122" i="9"/>
  <c r="O122" i="9"/>
  <c r="S122" i="9"/>
  <c r="N124" i="9"/>
  <c r="N128" i="9"/>
  <c r="I20" i="9"/>
  <c r="I22" i="9"/>
  <c r="I39" i="9"/>
  <c r="I93" i="9"/>
  <c r="I95" i="9"/>
  <c r="N97" i="9"/>
  <c r="I108" i="9"/>
  <c r="N111" i="9"/>
  <c r="I115" i="9"/>
  <c r="N118" i="9"/>
  <c r="I123" i="9"/>
  <c r="N126" i="9"/>
  <c r="N15" i="9"/>
  <c r="O18" i="9"/>
  <c r="S18" i="9"/>
  <c r="N25" i="9"/>
  <c r="O138" i="9"/>
  <c r="S138" i="9"/>
  <c r="N51" i="9"/>
  <c r="N56" i="9"/>
  <c r="I67" i="9"/>
  <c r="I73" i="9"/>
  <c r="I76" i="9"/>
  <c r="N108" i="9"/>
  <c r="N115" i="9"/>
  <c r="N123" i="9"/>
  <c r="T151" i="9"/>
  <c r="N67" i="9"/>
  <c r="N76" i="9"/>
  <c r="L8" i="9"/>
  <c r="N8" i="9"/>
  <c r="O8" i="9"/>
  <c r="S8" i="9"/>
  <c r="L89" i="9"/>
  <c r="N89" i="9"/>
  <c r="O89" i="9"/>
  <c r="S89" i="9"/>
  <c r="N113" i="9"/>
  <c r="N120" i="9"/>
  <c r="N114" i="9"/>
  <c r="N121" i="9"/>
  <c r="L30" i="9"/>
  <c r="N30" i="9"/>
  <c r="O30" i="9"/>
  <c r="S30" i="9"/>
  <c r="N32" i="9"/>
  <c r="O143" i="9"/>
  <c r="S143" i="9"/>
  <c r="N71" i="9"/>
  <c r="N78" i="9"/>
  <c r="L86" i="9"/>
  <c r="N86" i="9"/>
  <c r="O86" i="9"/>
  <c r="S86" i="9"/>
  <c r="N100" i="9"/>
  <c r="L106" i="9"/>
  <c r="N106" i="9"/>
  <c r="O106" i="9"/>
  <c r="S106" i="9"/>
  <c r="I107" i="9"/>
  <c r="N117" i="9"/>
  <c r="O117" i="9"/>
  <c r="S117" i="9"/>
  <c r="N16" i="9"/>
  <c r="N26" i="9"/>
  <c r="N49" i="9"/>
  <c r="N135" i="9"/>
  <c r="N62" i="9"/>
  <c r="N87" i="9"/>
  <c r="N7" i="9"/>
  <c r="N14" i="9"/>
  <c r="N20" i="9"/>
  <c r="N22" i="9"/>
  <c r="N27" i="9"/>
  <c r="I27" i="9"/>
  <c r="I28" i="9"/>
  <c r="I29" i="9"/>
  <c r="O29" i="9"/>
  <c r="N39" i="9"/>
  <c r="L41" i="9"/>
  <c r="N41" i="9"/>
  <c r="I41" i="9"/>
  <c r="L55" i="9"/>
  <c r="N55" i="9"/>
  <c r="I55" i="9"/>
  <c r="L42" i="9"/>
  <c r="N42" i="9"/>
  <c r="I42" i="9"/>
  <c r="L44" i="9"/>
  <c r="N44" i="9"/>
  <c r="I44" i="9"/>
  <c r="N58" i="9"/>
  <c r="N73" i="9"/>
  <c r="I14" i="9"/>
  <c r="I15" i="9"/>
  <c r="I16" i="9"/>
  <c r="I24" i="9"/>
  <c r="I25" i="9"/>
  <c r="I26" i="9"/>
  <c r="N95" i="9"/>
  <c r="AB84" i="9"/>
  <c r="L24" i="9"/>
  <c r="L43" i="9"/>
  <c r="I43" i="9"/>
  <c r="L45" i="9"/>
  <c r="N45" i="9"/>
  <c r="I45" i="9"/>
  <c r="N74" i="9"/>
  <c r="N94" i="9"/>
  <c r="I46" i="9"/>
  <c r="I47" i="9"/>
  <c r="O47" i="9"/>
  <c r="S47" i="9"/>
  <c r="I133" i="9"/>
  <c r="I50" i="9"/>
  <c r="I51" i="9"/>
  <c r="I135" i="9"/>
  <c r="I52" i="9"/>
  <c r="I59" i="9"/>
  <c r="I11" i="9"/>
  <c r="I62" i="9"/>
  <c r="I63" i="9"/>
  <c r="O63" i="9"/>
  <c r="S63" i="9"/>
  <c r="AF79" i="9"/>
  <c r="I65" i="9"/>
  <c r="AA81" i="9"/>
  <c r="AF81" i="9"/>
  <c r="L48" i="9"/>
  <c r="N48" i="9"/>
  <c r="O48" i="9"/>
  <c r="S48" i="9"/>
  <c r="L79" i="9"/>
  <c r="N79" i="9"/>
  <c r="O79" i="9"/>
  <c r="S79" i="9"/>
  <c r="L80" i="9"/>
  <c r="N80" i="9"/>
  <c r="O80" i="9"/>
  <c r="S80" i="9"/>
  <c r="L81" i="9"/>
  <c r="N81" i="9"/>
  <c r="O81" i="9"/>
  <c r="S81" i="9"/>
  <c r="L82" i="9"/>
  <c r="N82" i="9"/>
  <c r="O82" i="9"/>
  <c r="S82" i="9"/>
  <c r="L83" i="9"/>
  <c r="N83" i="9"/>
  <c r="O83" i="9"/>
  <c r="S83" i="9"/>
  <c r="L84" i="9"/>
  <c r="N84" i="9"/>
  <c r="O84" i="9"/>
  <c r="S84" i="9"/>
  <c r="L85" i="9"/>
  <c r="N85" i="9"/>
  <c r="O85" i="9"/>
  <c r="S85" i="9"/>
  <c r="I7" i="9"/>
  <c r="I91" i="9"/>
  <c r="L59" i="9"/>
  <c r="I49" i="9"/>
  <c r="L133" i="9"/>
  <c r="L136" i="9"/>
  <c r="I57" i="9"/>
  <c r="I58" i="9"/>
  <c r="L11" i="9"/>
  <c r="I68" i="9"/>
  <c r="I74" i="9"/>
  <c r="I75" i="9"/>
  <c r="N107" i="9"/>
  <c r="I128" i="9"/>
  <c r="I129" i="9"/>
  <c r="I66" i="9"/>
  <c r="O66" i="9"/>
  <c r="S66" i="9"/>
  <c r="I87" i="9"/>
  <c r="N49" i="8"/>
  <c r="N101" i="8"/>
  <c r="N56" i="8"/>
  <c r="O56" i="8"/>
  <c r="N152" i="8"/>
  <c r="O152" i="8"/>
  <c r="S152" i="8"/>
  <c r="I128" i="8"/>
  <c r="O128" i="8"/>
  <c r="S128" i="8"/>
  <c r="L146" i="8"/>
  <c r="L148" i="8"/>
  <c r="L150" i="8"/>
  <c r="L152" i="8"/>
  <c r="O112" i="8"/>
  <c r="S112" i="8"/>
  <c r="L85" i="8"/>
  <c r="N85" i="8"/>
  <c r="O85" i="8"/>
  <c r="S85" i="8"/>
  <c r="H131" i="8"/>
  <c r="L120" i="8"/>
  <c r="I127" i="8"/>
  <c r="O127" i="8"/>
  <c r="S127" i="8"/>
  <c r="N137" i="8"/>
  <c r="O137" i="8"/>
  <c r="S137" i="8"/>
  <c r="L107" i="8"/>
  <c r="N107" i="8"/>
  <c r="I113" i="8"/>
  <c r="N148" i="8"/>
  <c r="O57" i="8"/>
  <c r="S57" i="8"/>
  <c r="K115" i="8"/>
  <c r="N32" i="8"/>
  <c r="O32" i="8"/>
  <c r="S32" i="8"/>
  <c r="I46" i="8"/>
  <c r="I54" i="8"/>
  <c r="I49" i="8"/>
  <c r="I56" i="8"/>
  <c r="L102" i="8"/>
  <c r="N102" i="8"/>
  <c r="L7" i="8"/>
  <c r="N7" i="8"/>
  <c r="I34" i="8"/>
  <c r="I37" i="8"/>
  <c r="I31" i="8"/>
  <c r="I39" i="8"/>
  <c r="I69" i="8"/>
  <c r="O69" i="8"/>
  <c r="AA78" i="8"/>
  <c r="L20" i="8"/>
  <c r="L59" i="8"/>
  <c r="N59" i="8"/>
  <c r="O59" i="8"/>
  <c r="S59" i="8"/>
  <c r="I61" i="8"/>
  <c r="O61" i="8"/>
  <c r="S61" i="8"/>
  <c r="I71" i="8"/>
  <c r="L77" i="8"/>
  <c r="L87" i="8"/>
  <c r="AA80" i="8"/>
  <c r="AF80" i="8"/>
  <c r="L94" i="8"/>
  <c r="N94" i="8"/>
  <c r="O94" i="8"/>
  <c r="S94" i="8"/>
  <c r="I106" i="8"/>
  <c r="I121" i="8"/>
  <c r="L123" i="8"/>
  <c r="I126" i="8"/>
  <c r="O126" i="8"/>
  <c r="S126" i="8"/>
  <c r="L133" i="8"/>
  <c r="N133" i="8"/>
  <c r="L135" i="8"/>
  <c r="L137" i="8"/>
  <c r="L139" i="8"/>
  <c r="N139" i="8"/>
  <c r="O139" i="8"/>
  <c r="S139" i="8"/>
  <c r="L143" i="8"/>
  <c r="N143" i="8"/>
  <c r="O143" i="8"/>
  <c r="S143" i="8"/>
  <c r="O102" i="8"/>
  <c r="S102" i="8"/>
  <c r="I32" i="8"/>
  <c r="I40" i="8"/>
  <c r="I60" i="8"/>
  <c r="O60" i="8"/>
  <c r="S60" i="8"/>
  <c r="N12" i="8"/>
  <c r="L62" i="8"/>
  <c r="N62" i="8"/>
  <c r="O62" i="8"/>
  <c r="S62" i="8"/>
  <c r="N15" i="8"/>
  <c r="N34" i="8"/>
  <c r="N23" i="8"/>
  <c r="O23" i="8"/>
  <c r="S23" i="8"/>
  <c r="K44" i="8"/>
  <c r="L51" i="8"/>
  <c r="N51" i="8"/>
  <c r="O51" i="8"/>
  <c r="S51" i="8"/>
  <c r="AD82" i="8"/>
  <c r="L101" i="8"/>
  <c r="N106" i="8"/>
  <c r="O108" i="8"/>
  <c r="S108" i="8"/>
  <c r="O124" i="8"/>
  <c r="S124" i="8"/>
  <c r="O136" i="8"/>
  <c r="S136" i="8"/>
  <c r="L145" i="8"/>
  <c r="N145" i="8"/>
  <c r="O145" i="8"/>
  <c r="S145" i="8"/>
  <c r="L147" i="8"/>
  <c r="N147" i="8"/>
  <c r="O147" i="8"/>
  <c r="S147" i="8"/>
  <c r="L149" i="8"/>
  <c r="L151" i="8"/>
  <c r="L153" i="8"/>
  <c r="N153" i="8"/>
  <c r="O153" i="8"/>
  <c r="S153" i="8"/>
  <c r="L37" i="8"/>
  <c r="O79" i="8"/>
  <c r="S79" i="8"/>
  <c r="N47" i="8"/>
  <c r="O47" i="8"/>
  <c r="S47" i="8"/>
  <c r="N100" i="8"/>
  <c r="I117" i="8"/>
  <c r="N40" i="8"/>
  <c r="N60" i="8"/>
  <c r="N20" i="8"/>
  <c r="O20" i="8"/>
  <c r="S20" i="8"/>
  <c r="N13" i="8"/>
  <c r="I48" i="8"/>
  <c r="O48" i="8"/>
  <c r="S48" i="8"/>
  <c r="L96" i="8"/>
  <c r="N96" i="8"/>
  <c r="O96" i="8"/>
  <c r="S96" i="8"/>
  <c r="I14" i="8"/>
  <c r="O14" i="8"/>
  <c r="S14" i="8"/>
  <c r="L23" i="8"/>
  <c r="K37" i="8"/>
  <c r="N33" i="8"/>
  <c r="O33" i="8"/>
  <c r="S33" i="8"/>
  <c r="O52" i="8"/>
  <c r="S52" i="8"/>
  <c r="N58" i="8"/>
  <c r="O58" i="8"/>
  <c r="S58" i="8"/>
  <c r="N64" i="8"/>
  <c r="O64" i="8"/>
  <c r="S64" i="8"/>
  <c r="K87" i="8"/>
  <c r="L84" i="8"/>
  <c r="N84" i="8"/>
  <c r="O84" i="8"/>
  <c r="S84" i="8"/>
  <c r="L86" i="8"/>
  <c r="N86" i="8"/>
  <c r="O86" i="8"/>
  <c r="S86" i="8"/>
  <c r="N124" i="8"/>
  <c r="O129" i="8"/>
  <c r="S129" i="8"/>
  <c r="N136" i="8"/>
  <c r="N144" i="8"/>
  <c r="O144" i="8"/>
  <c r="S144" i="8"/>
  <c r="O148" i="8"/>
  <c r="S148" i="8"/>
  <c r="O7" i="8"/>
  <c r="N8" i="8"/>
  <c r="H17" i="8"/>
  <c r="N98" i="8"/>
  <c r="O98" i="8"/>
  <c r="S98" i="8"/>
  <c r="K73" i="8"/>
  <c r="N69" i="8"/>
  <c r="I78" i="8"/>
  <c r="I87" i="8"/>
  <c r="L82" i="8"/>
  <c r="I82" i="8"/>
  <c r="N109" i="8"/>
  <c r="I8" i="8"/>
  <c r="O8" i="8"/>
  <c r="S8" i="8"/>
  <c r="I13" i="8"/>
  <c r="L16" i="8"/>
  <c r="N16" i="8"/>
  <c r="I16" i="8"/>
  <c r="J27" i="8"/>
  <c r="N46" i="8"/>
  <c r="I63" i="8"/>
  <c r="O63" i="8"/>
  <c r="S63" i="8"/>
  <c r="N71" i="8"/>
  <c r="N82" i="8"/>
  <c r="L95" i="8"/>
  <c r="N95" i="8"/>
  <c r="O95" i="8"/>
  <c r="S95" i="8"/>
  <c r="I19" i="8"/>
  <c r="O24" i="8"/>
  <c r="S24" i="8"/>
  <c r="H27" i="8"/>
  <c r="K54" i="8"/>
  <c r="I119" i="8"/>
  <c r="L119" i="8"/>
  <c r="N119" i="8"/>
  <c r="I26" i="8"/>
  <c r="O26" i="8"/>
  <c r="S26" i="8"/>
  <c r="J54" i="8"/>
  <c r="J67" i="8"/>
  <c r="L90" i="8"/>
  <c r="N90" i="8"/>
  <c r="I90" i="8"/>
  <c r="I92" i="8"/>
  <c r="O110" i="8"/>
  <c r="S110" i="8"/>
  <c r="N140" i="8"/>
  <c r="O140" i="8"/>
  <c r="S140" i="8"/>
  <c r="L155" i="8"/>
  <c r="I155" i="8"/>
  <c r="I162" i="8"/>
  <c r="I9" i="8"/>
  <c r="O9" i="8"/>
  <c r="S9" i="8"/>
  <c r="L25" i="8"/>
  <c r="N25" i="8"/>
  <c r="I25" i="8"/>
  <c r="O25" i="8"/>
  <c r="N75" i="8"/>
  <c r="J87" i="8"/>
  <c r="L42" i="8"/>
  <c r="N42" i="8"/>
  <c r="O42" i="8"/>
  <c r="S42" i="8"/>
  <c r="H44" i="8"/>
  <c r="J17" i="8"/>
  <c r="O12" i="8"/>
  <c r="S12" i="8"/>
  <c r="N19" i="8"/>
  <c r="O21" i="8"/>
  <c r="S21" i="8"/>
  <c r="N29" i="8"/>
  <c r="J37" i="8"/>
  <c r="L43" i="8"/>
  <c r="I43" i="8"/>
  <c r="I44" i="8"/>
  <c r="K67" i="8"/>
  <c r="L66" i="8"/>
  <c r="I66" i="8"/>
  <c r="N70" i="8"/>
  <c r="O70" i="8"/>
  <c r="S70" i="8"/>
  <c r="J73" i="8"/>
  <c r="AF78" i="8"/>
  <c r="AA82" i="8"/>
  <c r="L81" i="8"/>
  <c r="N81" i="8"/>
  <c r="I81" i="8"/>
  <c r="L99" i="8"/>
  <c r="N99" i="8"/>
  <c r="O99" i="8"/>
  <c r="S99" i="8"/>
  <c r="O107" i="8"/>
  <c r="S107" i="8"/>
  <c r="N117" i="8"/>
  <c r="J131" i="8"/>
  <c r="O142" i="8"/>
  <c r="S142" i="8"/>
  <c r="L118" i="8"/>
  <c r="L131" i="8"/>
  <c r="I118" i="8"/>
  <c r="O106" i="8"/>
  <c r="I109" i="8"/>
  <c r="O109" i="8"/>
  <c r="S109" i="8"/>
  <c r="J115" i="8"/>
  <c r="O10" i="8"/>
  <c r="S10" i="8"/>
  <c r="N21" i="8"/>
  <c r="L24" i="8"/>
  <c r="N24" i="8"/>
  <c r="N43" i="8"/>
  <c r="L53" i="8"/>
  <c r="I53" i="8"/>
  <c r="H87" i="8"/>
  <c r="N76" i="8"/>
  <c r="O76" i="8"/>
  <c r="S76" i="8"/>
  <c r="N135" i="8"/>
  <c r="O135" i="8"/>
  <c r="S135" i="8"/>
  <c r="N151" i="8"/>
  <c r="O151" i="8"/>
  <c r="S151" i="8"/>
  <c r="J157" i="8"/>
  <c r="K17" i="8"/>
  <c r="K27" i="8"/>
  <c r="N31" i="8"/>
  <c r="O31" i="8"/>
  <c r="S31" i="8"/>
  <c r="O36" i="8"/>
  <c r="N39" i="8"/>
  <c r="O50" i="8"/>
  <c r="S50" i="8"/>
  <c r="N78" i="8"/>
  <c r="AF79" i="8"/>
  <c r="N92" i="8"/>
  <c r="N113" i="8"/>
  <c r="N134" i="8"/>
  <c r="O134" i="8"/>
  <c r="S134" i="8"/>
  <c r="N142" i="8"/>
  <c r="N150" i="8"/>
  <c r="O150" i="8"/>
  <c r="S150" i="8"/>
  <c r="L73" i="8"/>
  <c r="K159" i="8"/>
  <c r="K164" i="8"/>
  <c r="N89" i="8"/>
  <c r="O89" i="8"/>
  <c r="S89" i="8"/>
  <c r="N121" i="8"/>
  <c r="I72" i="8"/>
  <c r="H73" i="8"/>
  <c r="O97" i="8"/>
  <c r="S97" i="8"/>
  <c r="H37" i="8"/>
  <c r="H54" i="8"/>
  <c r="L98" i="8"/>
  <c r="I111" i="8"/>
  <c r="O111" i="8"/>
  <c r="S111" i="8"/>
  <c r="K131" i="8"/>
  <c r="O138" i="8"/>
  <c r="S138" i="8"/>
  <c r="N141" i="8"/>
  <c r="O141" i="8"/>
  <c r="S141" i="8"/>
  <c r="N149" i="8"/>
  <c r="O149" i="8"/>
  <c r="S149" i="8"/>
  <c r="L156" i="8"/>
  <c r="N156" i="8"/>
  <c r="I156" i="8"/>
  <c r="J159" i="8"/>
  <c r="J164" i="8"/>
  <c r="N66" i="8"/>
  <c r="O101" i="8"/>
  <c r="S101" i="8"/>
  <c r="I15" i="8"/>
  <c r="O15" i="8"/>
  <c r="S15" i="8"/>
  <c r="J44" i="8"/>
  <c r="H67" i="8"/>
  <c r="L65" i="8"/>
  <c r="N65" i="8"/>
  <c r="I65" i="8"/>
  <c r="AB82" i="8"/>
  <c r="I80" i="8"/>
  <c r="O80" i="8"/>
  <c r="S80" i="8"/>
  <c r="L91" i="8"/>
  <c r="N91" i="8"/>
  <c r="O91" i="8"/>
  <c r="S91" i="8"/>
  <c r="O100" i="8"/>
  <c r="S100" i="8"/>
  <c r="H115" i="8"/>
  <c r="N120" i="8"/>
  <c r="O120" i="8"/>
  <c r="S120" i="8"/>
  <c r="N123" i="8"/>
  <c r="O123" i="8"/>
  <c r="S123" i="8"/>
  <c r="I130" i="8"/>
  <c r="O130" i="8"/>
  <c r="S130" i="8"/>
  <c r="K157" i="8"/>
  <c r="N138" i="8"/>
  <c r="N146" i="8"/>
  <c r="O146" i="8"/>
  <c r="S146" i="8"/>
  <c r="H157" i="8"/>
  <c r="H146" i="9"/>
  <c r="K146" i="9"/>
  <c r="S141" i="9"/>
  <c r="S144" i="9"/>
  <c r="O144" i="9"/>
  <c r="O93" i="9"/>
  <c r="S93" i="9"/>
  <c r="J146" i="9"/>
  <c r="O120" i="9"/>
  <c r="S120" i="9"/>
  <c r="O51" i="9"/>
  <c r="S51" i="9"/>
  <c r="I136" i="9"/>
  <c r="O113" i="9"/>
  <c r="S113" i="9"/>
  <c r="O32" i="9"/>
  <c r="S32" i="9"/>
  <c r="O129" i="9"/>
  <c r="S129" i="9"/>
  <c r="I12" i="9"/>
  <c r="O52" i="9"/>
  <c r="S52" i="9"/>
  <c r="O26" i="9"/>
  <c r="S26" i="9"/>
  <c r="S132" i="9"/>
  <c r="O76" i="9"/>
  <c r="S76" i="9"/>
  <c r="O104" i="9"/>
  <c r="S104" i="9"/>
  <c r="O46" i="9"/>
  <c r="S46" i="9"/>
  <c r="L130" i="9"/>
  <c r="O70" i="9"/>
  <c r="S70" i="9"/>
  <c r="O75" i="9"/>
  <c r="S75" i="9"/>
  <c r="O114" i="9"/>
  <c r="S114" i="9"/>
  <c r="O91" i="9"/>
  <c r="S91" i="9"/>
  <c r="O78" i="9"/>
  <c r="S78" i="9"/>
  <c r="O103" i="9"/>
  <c r="S103" i="9"/>
  <c r="O134" i="9"/>
  <c r="S134" i="9"/>
  <c r="O109" i="9"/>
  <c r="S109" i="9"/>
  <c r="O96" i="9"/>
  <c r="S96" i="9"/>
  <c r="I130" i="9"/>
  <c r="O21" i="9"/>
  <c r="S21" i="9"/>
  <c r="O56" i="9"/>
  <c r="S56" i="9"/>
  <c r="O61" i="9"/>
  <c r="S61" i="9"/>
  <c r="O107" i="9"/>
  <c r="S107" i="9"/>
  <c r="O68" i="9"/>
  <c r="S68" i="9"/>
  <c r="O73" i="9"/>
  <c r="S73" i="9"/>
  <c r="O45" i="9"/>
  <c r="S45" i="9"/>
  <c r="O28" i="9"/>
  <c r="S28" i="9"/>
  <c r="O57" i="9"/>
  <c r="S57" i="9"/>
  <c r="O100" i="9"/>
  <c r="S100" i="9"/>
  <c r="O23" i="9"/>
  <c r="S23" i="9"/>
  <c r="O126" i="9"/>
  <c r="S126" i="9"/>
  <c r="O124" i="9"/>
  <c r="S124" i="9"/>
  <c r="O16" i="9"/>
  <c r="S16" i="9"/>
  <c r="O118" i="9"/>
  <c r="S118" i="9"/>
  <c r="O19" i="9"/>
  <c r="S19" i="9"/>
  <c r="O34" i="9"/>
  <c r="S34" i="9"/>
  <c r="O53" i="9"/>
  <c r="S53" i="9"/>
  <c r="L12" i="9"/>
  <c r="O128" i="9"/>
  <c r="S128" i="9"/>
  <c r="O74" i="9"/>
  <c r="S74" i="9"/>
  <c r="O97" i="9"/>
  <c r="S97" i="9"/>
  <c r="O102" i="9"/>
  <c r="S102" i="9"/>
  <c r="O60" i="9"/>
  <c r="S60" i="9"/>
  <c r="O44" i="9"/>
  <c r="S44" i="9"/>
  <c r="O41" i="9"/>
  <c r="S41" i="9"/>
  <c r="O71" i="9"/>
  <c r="S71" i="9"/>
  <c r="O135" i="9"/>
  <c r="S135" i="9"/>
  <c r="O65" i="9"/>
  <c r="S65" i="9"/>
  <c r="O22" i="9"/>
  <c r="S22" i="9"/>
  <c r="O111" i="9"/>
  <c r="S111" i="9"/>
  <c r="AF84" i="9"/>
  <c r="AF85" i="9"/>
  <c r="O50" i="9"/>
  <c r="S50" i="9"/>
  <c r="O25" i="9"/>
  <c r="S25" i="9"/>
  <c r="O20" i="9"/>
  <c r="S20" i="9"/>
  <c r="O67" i="9"/>
  <c r="S67" i="9"/>
  <c r="O15" i="9"/>
  <c r="S15" i="9"/>
  <c r="O55" i="9"/>
  <c r="S55" i="9"/>
  <c r="O123" i="9"/>
  <c r="S123" i="9"/>
  <c r="O95" i="9"/>
  <c r="S95" i="9"/>
  <c r="O42" i="9"/>
  <c r="S42" i="9"/>
  <c r="O121" i="9"/>
  <c r="S121" i="9"/>
  <c r="O115" i="9"/>
  <c r="S115" i="9"/>
  <c r="O87" i="9"/>
  <c r="S87" i="9"/>
  <c r="O108" i="9"/>
  <c r="S108" i="9"/>
  <c r="O58" i="9"/>
  <c r="S58" i="9"/>
  <c r="O49" i="9"/>
  <c r="S49" i="9"/>
  <c r="O62" i="9"/>
  <c r="S62" i="9"/>
  <c r="N24" i="9"/>
  <c r="N59" i="9"/>
  <c r="AA84" i="9"/>
  <c r="S29" i="9"/>
  <c r="O39" i="9"/>
  <c r="S39" i="9"/>
  <c r="N11" i="9"/>
  <c r="O11" i="9"/>
  <c r="N43" i="9"/>
  <c r="O27" i="9"/>
  <c r="S27" i="9"/>
  <c r="O7" i="9"/>
  <c r="O14" i="9"/>
  <c r="O31" i="9"/>
  <c r="N133" i="9"/>
  <c r="N136" i="9"/>
  <c r="O94" i="9"/>
  <c r="S38" i="9"/>
  <c r="N77" i="8"/>
  <c r="O77" i="8"/>
  <c r="S77" i="8"/>
  <c r="L54" i="8"/>
  <c r="AF82" i="8"/>
  <c r="AF83" i="8"/>
  <c r="O13" i="8"/>
  <c r="S13" i="8"/>
  <c r="O71" i="8"/>
  <c r="S71" i="8"/>
  <c r="O34" i="8"/>
  <c r="S34" i="8"/>
  <c r="N37" i="8"/>
  <c r="N67" i="8"/>
  <c r="I131" i="8"/>
  <c r="L17" i="8"/>
  <c r="O113" i="8"/>
  <c r="S113" i="8"/>
  <c r="N17" i="8"/>
  <c r="O40" i="8"/>
  <c r="S40" i="8"/>
  <c r="O49" i="8"/>
  <c r="S49" i="8"/>
  <c r="L157" i="8"/>
  <c r="O121" i="8"/>
  <c r="S121" i="8"/>
  <c r="L115" i="8"/>
  <c r="O92" i="8"/>
  <c r="S92" i="8"/>
  <c r="N115" i="8"/>
  <c r="I115" i="8"/>
  <c r="N155" i="8"/>
  <c r="N157" i="8"/>
  <c r="O81" i="8"/>
  <c r="S81" i="8"/>
  <c r="N27" i="8"/>
  <c r="O19" i="8"/>
  <c r="I27" i="8"/>
  <c r="O16" i="8"/>
  <c r="S16" i="8"/>
  <c r="L44" i="8"/>
  <c r="L27" i="8"/>
  <c r="L159" i="8"/>
  <c r="L164" i="8"/>
  <c r="N162" i="8"/>
  <c r="N159" i="8"/>
  <c r="N164" i="8"/>
  <c r="S36" i="8"/>
  <c r="O38" i="8"/>
  <c r="O66" i="8"/>
  <c r="S66" i="8"/>
  <c r="O156" i="8"/>
  <c r="S156" i="8"/>
  <c r="I157" i="8"/>
  <c r="O72" i="8"/>
  <c r="S72" i="8"/>
  <c r="I73" i="8"/>
  <c r="S69" i="8"/>
  <c r="O73" i="8"/>
  <c r="O119" i="8"/>
  <c r="S119" i="8"/>
  <c r="I67" i="8"/>
  <c r="N53" i="8"/>
  <c r="N87" i="8"/>
  <c r="O75" i="8"/>
  <c r="O29" i="8"/>
  <c r="N54" i="8"/>
  <c r="O46" i="8"/>
  <c r="O90" i="8"/>
  <c r="S90" i="8"/>
  <c r="O133" i="8"/>
  <c r="O82" i="8"/>
  <c r="S82" i="8"/>
  <c r="O65" i="8"/>
  <c r="S65" i="8"/>
  <c r="N118" i="8"/>
  <c r="O118" i="8"/>
  <c r="S118" i="8"/>
  <c r="S56" i="8"/>
  <c r="N131" i="8"/>
  <c r="O117" i="8"/>
  <c r="O43" i="8"/>
  <c r="S43" i="8"/>
  <c r="O78" i="8"/>
  <c r="S78" i="8"/>
  <c r="S7" i="8"/>
  <c r="S17" i="8"/>
  <c r="O17" i="8"/>
  <c r="O39" i="8"/>
  <c r="N44" i="8"/>
  <c r="S25" i="8"/>
  <c r="O28" i="8"/>
  <c r="S106" i="8"/>
  <c r="S115" i="8"/>
  <c r="O115" i="8"/>
  <c r="L67" i="8"/>
  <c r="O53" i="8"/>
  <c r="S53" i="8"/>
  <c r="N73" i="8"/>
  <c r="I17" i="8"/>
  <c r="I146" i="9"/>
  <c r="L146" i="9"/>
  <c r="N130" i="9"/>
  <c r="N12" i="9"/>
  <c r="N146" i="9"/>
  <c r="O12" i="9"/>
  <c r="O59" i="9"/>
  <c r="S59" i="9"/>
  <c r="S14" i="9"/>
  <c r="S94" i="9"/>
  <c r="S11" i="9"/>
  <c r="S7" i="9"/>
  <c r="S31" i="9"/>
  <c r="O43" i="9"/>
  <c r="O133" i="9"/>
  <c r="O136" i="9"/>
  <c r="O24" i="9"/>
  <c r="O67" i="8"/>
  <c r="S73" i="8"/>
  <c r="S67" i="8"/>
  <c r="S19" i="8"/>
  <c r="S27" i="8"/>
  <c r="O27" i="8"/>
  <c r="O87" i="8"/>
  <c r="S75" i="8"/>
  <c r="S87" i="8"/>
  <c r="O155" i="8"/>
  <c r="S155" i="8"/>
  <c r="S46" i="8"/>
  <c r="S54" i="8"/>
  <c r="O54" i="8"/>
  <c r="O37" i="8"/>
  <c r="S29" i="8"/>
  <c r="S37" i="8"/>
  <c r="S133" i="8"/>
  <c r="S39" i="8"/>
  <c r="S44" i="8"/>
  <c r="O44" i="8"/>
  <c r="S117" i="8"/>
  <c r="S131" i="8"/>
  <c r="O131" i="8"/>
  <c r="O130" i="9"/>
  <c r="O146" i="9"/>
  <c r="S12" i="9"/>
  <c r="S43" i="9"/>
  <c r="S24" i="9"/>
  <c r="S133" i="9"/>
  <c r="S136" i="9"/>
  <c r="O157" i="8"/>
  <c r="S157" i="8"/>
  <c r="S162" i="8"/>
  <c r="S159" i="8"/>
  <c r="S164" i="8"/>
  <c r="O159" i="8"/>
  <c r="O164" i="8"/>
  <c r="S130" i="9"/>
  <c r="S146" i="9"/>
  <c r="J151" i="9"/>
  <c r="Q151" i="9"/>
  <c r="M151" i="9"/>
  <c r="L151" i="9"/>
  <c r="K151" i="9"/>
  <c r="H151" i="9"/>
  <c r="P151" i="9"/>
  <c r="R151" i="9"/>
  <c r="N151" i="9"/>
  <c r="I151" i="9"/>
  <c r="O151" i="9"/>
  <c r="S151" i="9"/>
  <c r="I28" i="10" l="1"/>
  <c r="L28" i="10"/>
  <c r="N28" i="10" s="1"/>
  <c r="I29" i="10"/>
  <c r="L29" i="10"/>
  <c r="N29" i="10" s="1"/>
  <c r="I30" i="10"/>
  <c r="L30" i="10"/>
  <c r="N30" i="10" s="1"/>
  <c r="I31" i="10"/>
  <c r="L31" i="10"/>
  <c r="N31" i="10" s="1"/>
  <c r="I32" i="10"/>
  <c r="L32" i="10"/>
  <c r="N32" i="10" s="1"/>
  <c r="I33" i="10"/>
  <c r="L33" i="10"/>
  <c r="N33" i="10" s="1"/>
  <c r="I34" i="10"/>
  <c r="L34" i="10"/>
  <c r="N34" i="10" s="1"/>
  <c r="I35" i="10"/>
  <c r="L35" i="10"/>
  <c r="N35" i="10" s="1"/>
  <c r="H50" i="10"/>
  <c r="I49" i="10"/>
  <c r="H47" i="10"/>
  <c r="H44" i="10"/>
  <c r="I43" i="10"/>
  <c r="O43" i="10" s="1"/>
  <c r="S43" i="10" s="1"/>
  <c r="I13" i="10"/>
  <c r="O13" i="10" s="1"/>
  <c r="S13" i="10" s="1"/>
  <c r="L13" i="10"/>
  <c r="L12" i="10"/>
  <c r="I12" i="10"/>
  <c r="O12" i="10" s="1"/>
  <c r="S12" i="10" s="1"/>
  <c r="H38" i="10"/>
  <c r="I16" i="10"/>
  <c r="O16" i="10" s="1"/>
  <c r="I36" i="10"/>
  <c r="O36" i="10" s="1"/>
  <c r="S36" i="10" s="1"/>
  <c r="I37" i="10"/>
  <c r="O37" i="10" s="1"/>
  <c r="S37" i="10" s="1"/>
  <c r="H6" i="10"/>
  <c r="L6" i="10"/>
  <c r="J6" i="10"/>
  <c r="N6" i="10"/>
  <c r="H9" i="10"/>
  <c r="J9" i="10"/>
  <c r="H14" i="10"/>
  <c r="L11" i="10"/>
  <c r="I11" i="10"/>
  <c r="O59" i="7"/>
  <c r="N74" i="7"/>
  <c r="N102" i="7" s="1"/>
  <c r="L72" i="7"/>
  <c r="N71" i="7"/>
  <c r="N67" i="7"/>
  <c r="N69" i="7" s="1"/>
  <c r="I22" i="7"/>
  <c r="L22" i="7"/>
  <c r="N22" i="7" s="1"/>
  <c r="G53" i="7"/>
  <c r="L53" i="7"/>
  <c r="N52" i="7"/>
  <c r="N55" i="7"/>
  <c r="N65" i="7" s="1"/>
  <c r="O41" i="7"/>
  <c r="O22" i="7"/>
  <c r="S22" i="7" s="1"/>
  <c r="O40" i="7"/>
  <c r="S40" i="7" s="1"/>
  <c r="O38" i="7"/>
  <c r="S38" i="7" s="1"/>
  <c r="O39" i="7"/>
  <c r="S39" i="7" s="1"/>
  <c r="O16" i="7"/>
  <c r="S16" i="7" s="1"/>
  <c r="N37" i="7"/>
  <c r="N50" i="7" s="1"/>
  <c r="L20" i="7"/>
  <c r="N20" i="7" s="1"/>
  <c r="O20" i="7" s="1"/>
  <c r="S20" i="7" s="1"/>
  <c r="H6" i="7"/>
  <c r="O12" i="7"/>
  <c r="S12" i="7" s="1"/>
  <c r="O28" i="7"/>
  <c r="S28" i="7" s="1"/>
  <c r="L21" i="7"/>
  <c r="N21" i="7" s="1"/>
  <c r="O21" i="7" s="1"/>
  <c r="S21" i="7" s="1"/>
  <c r="L32" i="7"/>
  <c r="L11" i="7"/>
  <c r="N11" i="7" s="1"/>
  <c r="O11" i="7" s="1"/>
  <c r="S11" i="7" s="1"/>
  <c r="L23" i="7"/>
  <c r="N23" i="7" s="1"/>
  <c r="O23" i="7" s="1"/>
  <c r="S23" i="7" s="1"/>
  <c r="L27" i="7"/>
  <c r="N27" i="7" s="1"/>
  <c r="O27" i="7" s="1"/>
  <c r="S27" i="7" s="1"/>
  <c r="L9" i="7"/>
  <c r="N9" i="7" s="1"/>
  <c r="O9" i="7" s="1"/>
  <c r="S9" i="7" s="1"/>
  <c r="L15" i="7"/>
  <c r="L24" i="7"/>
  <c r="N24" i="7" s="1"/>
  <c r="O24" i="7" s="1"/>
  <c r="L25" i="7"/>
  <c r="N25" i="7" s="1"/>
  <c r="O25" i="7" s="1"/>
  <c r="S25" i="7" s="1"/>
  <c r="L10" i="7"/>
  <c r="N10" i="7" s="1"/>
  <c r="O10" i="7" s="1"/>
  <c r="S10" i="7" s="1"/>
  <c r="L26" i="7"/>
  <c r="N26" i="7" s="1"/>
  <c r="O26" i="7" s="1"/>
  <c r="S26" i="7" s="1"/>
  <c r="I32" i="7"/>
  <c r="K13" i="7"/>
  <c r="J13" i="7"/>
  <c r="H29" i="7"/>
  <c r="I8" i="7"/>
  <c r="I13" i="7" s="1"/>
  <c r="I5" i="7"/>
  <c r="N8" i="7"/>
  <c r="I17" i="7"/>
  <c r="N5" i="7"/>
  <c r="N6" i="7" s="1"/>
  <c r="H17" i="7"/>
  <c r="H13" i="7"/>
  <c r="I19" i="7"/>
  <c r="I29" i="7" s="1"/>
  <c r="O35" i="10" l="1"/>
  <c r="S35" i="10" s="1"/>
  <c r="O34" i="10"/>
  <c r="S34" i="10" s="1"/>
  <c r="O33" i="10"/>
  <c r="S33" i="10" s="1"/>
  <c r="O32" i="10"/>
  <c r="S32" i="10" s="1"/>
  <c r="O31" i="10"/>
  <c r="S31" i="10" s="1"/>
  <c r="O30" i="10"/>
  <c r="S30" i="10" s="1"/>
  <c r="O29" i="10"/>
  <c r="S29" i="10" s="1"/>
  <c r="N38" i="10"/>
  <c r="O28" i="10"/>
  <c r="S28" i="10" s="1"/>
  <c r="I50" i="10"/>
  <c r="O49" i="10"/>
  <c r="I47" i="10"/>
  <c r="L44" i="10"/>
  <c r="I44" i="10"/>
  <c r="I38" i="10"/>
  <c r="L38" i="10"/>
  <c r="I14" i="10"/>
  <c r="L14" i="10"/>
  <c r="N9" i="10"/>
  <c r="I9" i="10"/>
  <c r="L9" i="10"/>
  <c r="I6" i="10"/>
  <c r="S59" i="7"/>
  <c r="O74" i="7"/>
  <c r="O102" i="7" s="1"/>
  <c r="N72" i="7"/>
  <c r="O71" i="7"/>
  <c r="O67" i="7"/>
  <c r="O52" i="7"/>
  <c r="N53" i="7"/>
  <c r="O55" i="7"/>
  <c r="O65" i="7" s="1"/>
  <c r="S41" i="7"/>
  <c r="O37" i="7"/>
  <c r="L29" i="7"/>
  <c r="N13" i="7"/>
  <c r="L13" i="7"/>
  <c r="N29" i="7"/>
  <c r="L17" i="7"/>
  <c r="N15" i="7"/>
  <c r="S32" i="7"/>
  <c r="O32" i="7"/>
  <c r="O8" i="7"/>
  <c r="S8" i="7" s="1"/>
  <c r="S13" i="7" s="1"/>
  <c r="S24" i="7"/>
  <c r="O5" i="7"/>
  <c r="O6" i="7" s="1"/>
  <c r="I6" i="7"/>
  <c r="O19" i="7"/>
  <c r="O29" i="7" s="1"/>
  <c r="O50" i="10" l="1"/>
  <c r="S49" i="10"/>
  <c r="S50" i="10" s="1"/>
  <c r="O47" i="10"/>
  <c r="S47" i="10"/>
  <c r="O44" i="10"/>
  <c r="S44" i="10"/>
  <c r="O38" i="10"/>
  <c r="S16" i="10"/>
  <c r="S38" i="10" s="1"/>
  <c r="O6" i="10"/>
  <c r="S6" i="10"/>
  <c r="O9" i="10"/>
  <c r="S9" i="10"/>
  <c r="N14" i="10"/>
  <c r="O11" i="10"/>
  <c r="S11" i="10" s="1"/>
  <c r="S67" i="7"/>
  <c r="O69" i="7"/>
  <c r="S74" i="7"/>
  <c r="S102" i="7" s="1"/>
  <c r="O72" i="7"/>
  <c r="S71" i="7"/>
  <c r="S72" i="7" s="1"/>
  <c r="S69" i="7"/>
  <c r="S37" i="7"/>
  <c r="S50" i="7" s="1"/>
  <c r="O50" i="7"/>
  <c r="S52" i="7"/>
  <c r="S53" i="7" s="1"/>
  <c r="O53" i="7"/>
  <c r="S55" i="7"/>
  <c r="S65" i="7" s="1"/>
  <c r="N17" i="7"/>
  <c r="O15" i="7"/>
  <c r="O13" i="7"/>
  <c r="S5" i="7"/>
  <c r="S6" i="7" s="1"/>
  <c r="S19" i="7"/>
  <c r="S29" i="7" s="1"/>
  <c r="O14" i="10" l="1"/>
  <c r="S14" i="10"/>
  <c r="O17" i="7"/>
  <c r="S15" i="7"/>
  <c r="S17" i="7" s="1"/>
  <c r="H69" i="7"/>
</calcChain>
</file>

<file path=xl/sharedStrings.xml><?xml version="1.0" encoding="utf-8"?>
<sst xmlns="http://schemas.openxmlformats.org/spreadsheetml/2006/main" count="4504" uniqueCount="673">
  <si>
    <t>FACTURACIÓN 2023</t>
  </si>
  <si>
    <t>N° FACTURA</t>
  </si>
  <si>
    <t>NIT</t>
  </si>
  <si>
    <t>TERCERO</t>
  </si>
  <si>
    <t>FECHA</t>
  </si>
  <si>
    <t>CONCEPTO</t>
  </si>
  <si>
    <t>SUB TOTAL</t>
  </si>
  <si>
    <t xml:space="preserve">IVA </t>
  </si>
  <si>
    <t>TOTAL</t>
  </si>
  <si>
    <t>RETE FTE</t>
  </si>
  <si>
    <t>ICA 6.9</t>
  </si>
  <si>
    <t>RETE IVA</t>
  </si>
  <si>
    <t>FACTURACIÒN importes</t>
  </si>
  <si>
    <t>T. DESCUENTOS</t>
  </si>
  <si>
    <t>T. A PAGAR</t>
  </si>
  <si>
    <t>FECHA PAGO</t>
  </si>
  <si>
    <t>FORMA DE PAGO</t>
  </si>
  <si>
    <t>VALOR</t>
  </si>
  <si>
    <t>SALDO</t>
  </si>
  <si>
    <t xml:space="preserve">REVISIÒN </t>
  </si>
  <si>
    <t>FEJO104</t>
  </si>
  <si>
    <t>800149384-6</t>
  </si>
  <si>
    <t>CLINICA COLSANITAS S A</t>
  </si>
  <si>
    <t>Uso mantenimiento correctivo mesa quirúrgica Trump</t>
  </si>
  <si>
    <t>Crédito</t>
  </si>
  <si>
    <t>PAGADA</t>
  </si>
  <si>
    <t xml:space="preserve"> EFECTIVO</t>
  </si>
  <si>
    <t>FEJO168</t>
  </si>
  <si>
    <t>Uso mantenimiento correc mesa quirurgica Trump</t>
  </si>
  <si>
    <t xml:space="preserve"> CRÈDITO QUE NO APARECEN EN EXTRACTO</t>
  </si>
  <si>
    <t>FEJO171</t>
  </si>
  <si>
    <t>800149384-9</t>
  </si>
  <si>
    <t>Soporte chasis RX para mesa de cirugia</t>
  </si>
  <si>
    <t>TIENEN DIFERENCIA O SALDO</t>
  </si>
  <si>
    <t>FEJO172</t>
  </si>
  <si>
    <t>Caja porta bandeja con tapa para Urologia</t>
  </si>
  <si>
    <t>FEJO173</t>
  </si>
  <si>
    <t xml:space="preserve">Bujes en bronce fosforado para
ajuste de pierneras de mesa de
cirugia merkur
</t>
  </si>
  <si>
    <t>FEJO174</t>
  </si>
  <si>
    <t>Mantenimiento correctivo lampara lupa para esterilizacion</t>
  </si>
  <si>
    <t>FEJO175</t>
  </si>
  <si>
    <t>Uso adecuacion carro de transporte</t>
  </si>
  <si>
    <t>FEJO176</t>
  </si>
  <si>
    <t>Estribos y bases para estribos de ginecologia</t>
  </si>
  <si>
    <t>FEJO177</t>
  </si>
  <si>
    <t>Forro de espuma para estribos juego x2</t>
  </si>
  <si>
    <t>FEJO178</t>
  </si>
  <si>
    <t>CLINICA COLSANITAS S.A</t>
  </si>
  <si>
    <t>Mantenimiento y reparacion soldadura</t>
  </si>
  <si>
    <t>ENERO</t>
  </si>
  <si>
    <t>FEJO179</t>
  </si>
  <si>
    <t>Mantenimiento correctivo columna de mesa de cirugía</t>
  </si>
  <si>
    <t>FEJO180</t>
  </si>
  <si>
    <t>Forro para chaleco plomado con refuerzo</t>
  </si>
  <si>
    <t>FEJO181</t>
  </si>
  <si>
    <t>Base para colchoneta y colchoneta para camilla de gineco y soporte</t>
  </si>
  <si>
    <t>FEJO182</t>
  </si>
  <si>
    <t>Estribos x2 y bases para ginecologia</t>
  </si>
  <si>
    <t>ANULADA</t>
  </si>
  <si>
    <t>FEJO183</t>
  </si>
  <si>
    <t>Forro de espuma para estribos juego x 2</t>
  </si>
  <si>
    <t>FEJO184</t>
  </si>
  <si>
    <t>Reparacion soporte consola de telecomando</t>
  </si>
  <si>
    <t>FEJO185</t>
  </si>
  <si>
    <t>Mantenimiento cama hospitalaria</t>
  </si>
  <si>
    <t>FEJO186</t>
  </si>
  <si>
    <t>Mantenimiento Correctivo Lámpara Cielítica</t>
  </si>
  <si>
    <t>FEJO187</t>
  </si>
  <si>
    <t>FEJO188</t>
  </si>
  <si>
    <t xml:space="preserve">Soporte rollo de tela para camilla ginecologia </t>
  </si>
  <si>
    <t>FEBRERO</t>
  </si>
  <si>
    <t>FEJO189</t>
  </si>
  <si>
    <t>Uso mantenimiento correctivo de esterilizador vapor</t>
  </si>
  <si>
    <t>FEJO190</t>
  </si>
  <si>
    <t>Uso mantenimiento correctivo para mesa quirúrgica</t>
  </si>
  <si>
    <t>FEJO191</t>
  </si>
  <si>
    <t>Revision pinza amperimetrica fluke modelo 376</t>
  </si>
  <si>
    <t>FEJO192</t>
  </si>
  <si>
    <t>830077093-7</t>
  </si>
  <si>
    <t>SISTEMAS MEDICO QUIRURGICOS SAS</t>
  </si>
  <si>
    <t>Biela y tapa en aluminio segun muestra</t>
  </si>
  <si>
    <t>FEJO193</t>
  </si>
  <si>
    <t>Protector universal para detector de equipo RX portatil</t>
  </si>
  <si>
    <t>FEJO194</t>
  </si>
  <si>
    <t>Mantenimiento correctivo piernera mesa de cirugia</t>
  </si>
  <si>
    <t>FEJO195</t>
  </si>
  <si>
    <t>Mantenimiento correctivo equipo de rayos x</t>
  </si>
  <si>
    <t>FEJO196</t>
  </si>
  <si>
    <t>Mantenimiento estibadora hidraulica</t>
  </si>
  <si>
    <t>NC 58023030086</t>
  </si>
  <si>
    <t>MARZO</t>
  </si>
  <si>
    <t>FEJO197</t>
  </si>
  <si>
    <t xml:space="preserve">Uso mantenimiento correctivo para mesa quirurgica, carcaza y forro </t>
  </si>
  <si>
    <t>FEJO198</t>
  </si>
  <si>
    <t>860078828-7</t>
  </si>
  <si>
    <t>COMPAÑIA DE MEDICINA PREPAGADA COLSANITAS S.A.</t>
  </si>
  <si>
    <t>Soporte en acrílico para endoscopio</t>
  </si>
  <si>
    <t>FEJO199</t>
  </si>
  <si>
    <t>Juego X 2 de Estribos(Pierneras) con soportes para mesa de cirugía</t>
  </si>
  <si>
    <t>FEJO200</t>
  </si>
  <si>
    <t>Manguera nitrogeno con una punta de acople ajuste rapido y otra punta acople tipo diss</t>
  </si>
  <si>
    <t>FEJO201</t>
  </si>
  <si>
    <t>Soporte para baranda cama Hill Room</t>
  </si>
  <si>
    <t>FEJO202</t>
  </si>
  <si>
    <t xml:space="preserve">Bandejas perforada 41 x 27 cms en acero inoxidable y 30 x 20 ref
banip3020 marca hadeo
</t>
  </si>
  <si>
    <t>FEJO203</t>
  </si>
  <si>
    <t xml:space="preserve">Soporte para circuitos de maquina de anestesia y soporte interno en aluminio para
lampara cielitica.
</t>
  </si>
  <si>
    <t>FEJO204</t>
  </si>
  <si>
    <t>Platina para soporte de monitor</t>
  </si>
  <si>
    <t>ABRIL</t>
  </si>
  <si>
    <t>FEJO205</t>
  </si>
  <si>
    <t>Mueble especial medicina nuclear</t>
  </si>
  <si>
    <t>PAGADO</t>
  </si>
  <si>
    <t>FEJO206</t>
  </si>
  <si>
    <t>Atril de pared</t>
  </si>
  <si>
    <t>FEJO207</t>
  </si>
  <si>
    <t>Mantenimiento Correctivo Camilla</t>
  </si>
  <si>
    <t>FEJO208</t>
  </si>
  <si>
    <t>Mantenimiento correctivo lampara de fototerapia</t>
  </si>
  <si>
    <t>FEJO209</t>
  </si>
  <si>
    <t>Bandeja perforada 41 x 27 cms en acero inoxidable</t>
  </si>
  <si>
    <t>MAYO</t>
  </si>
  <si>
    <t>FEJO210</t>
  </si>
  <si>
    <t>Soporte rollo de tela para camilla gineco</t>
  </si>
  <si>
    <t>FEJO211</t>
  </si>
  <si>
    <t>Carro de transporte medicina nuclear</t>
  </si>
  <si>
    <t>FEJO212</t>
  </si>
  <si>
    <t>FEJO213</t>
  </si>
  <si>
    <t>FEJO214</t>
  </si>
  <si>
    <t>Mantenimiento de cama electrónica huntleigh</t>
  </si>
  <si>
    <t>FEJO215</t>
  </si>
  <si>
    <t>FEJO216</t>
  </si>
  <si>
    <t>900486772-8</t>
  </si>
  <si>
    <t>MANTOS ANDINOS S.A.S</t>
  </si>
  <si>
    <t>Muestra de plástico.</t>
  </si>
  <si>
    <t>Efectivo</t>
  </si>
  <si>
    <t>FEJO217</t>
  </si>
  <si>
    <t>JUNIO</t>
  </si>
  <si>
    <t>FEJO218</t>
  </si>
  <si>
    <t>FEJO219</t>
  </si>
  <si>
    <t>Soporte para monitor</t>
  </si>
  <si>
    <t>FEJO220</t>
  </si>
  <si>
    <t>NC 58023060054</t>
  </si>
  <si>
    <t>REGISTRO LEY 1819 JUNIO 2023 - FE41</t>
  </si>
  <si>
    <t>FEJO221</t>
  </si>
  <si>
    <t>800251440-6</t>
  </si>
  <si>
    <t>ENTIDAD PROMOTORA DE SALUD SANITAS S.A.S</t>
  </si>
  <si>
    <t>Mantenimiento silla de ruedas</t>
  </si>
  <si>
    <t>FEJO222</t>
  </si>
  <si>
    <t xml:space="preserve">Reparación y movimiento 
mobiliario
</t>
  </si>
  <si>
    <t>FEJO223</t>
  </si>
  <si>
    <t>Uso mantenimiento sede</t>
  </si>
  <si>
    <t>FEJO224</t>
  </si>
  <si>
    <t>Mantenimiento correctivo torre laparoscopia</t>
  </si>
  <si>
    <t>FEJO225</t>
  </si>
  <si>
    <t>FEJO226</t>
  </si>
  <si>
    <t>FEJO227</t>
  </si>
  <si>
    <t>Soporte de bala de oxigeno para carro de paro</t>
  </si>
  <si>
    <t>FEJO228</t>
  </si>
  <si>
    <t>Soporte y forros para bala de oxigeno</t>
  </si>
  <si>
    <t>JULIO</t>
  </si>
  <si>
    <t>FEJO229</t>
  </si>
  <si>
    <t>Suministro e instalación de soportes de seguridad para decodificador</t>
  </si>
  <si>
    <t>FEJO230</t>
  </si>
  <si>
    <t>Carcaza y forro para control de mesa de cirugía marca Belmont</t>
  </si>
  <si>
    <t>FEJO231</t>
  </si>
  <si>
    <t>Mantenimiento y reparación puerta metálica</t>
  </si>
  <si>
    <t>FEJO232</t>
  </si>
  <si>
    <t>900958564-9</t>
  </si>
  <si>
    <t>SUBRED INTEGRADA DE SERVICIOS DE SALUD SUR E.S.E</t>
  </si>
  <si>
    <t>Cambio de tapizado Butaco</t>
  </si>
  <si>
    <t>AGOSTO</t>
  </si>
  <si>
    <t>FEJO233</t>
  </si>
  <si>
    <t>901041691-3</t>
  </si>
  <si>
    <t>CENTROS MEDICOS COLSANITAS SAS</t>
  </si>
  <si>
    <t>FEJO234</t>
  </si>
  <si>
    <t>Soporte de pared para mangueras cieliticas de gases medicinales</t>
  </si>
  <si>
    <t xml:space="preserve">Tipo de Documento </t>
  </si>
  <si>
    <t xml:space="preserve">Numero de Documento </t>
  </si>
  <si>
    <t xml:space="preserve">Fecha de Factura </t>
  </si>
  <si>
    <t>Subtotal</t>
  </si>
  <si>
    <t>IVA</t>
  </si>
  <si>
    <t>Total Factura mas IVA</t>
  </si>
  <si>
    <t>Rete IVA</t>
  </si>
  <si>
    <t>Rete ICA</t>
  </si>
  <si>
    <t>Rete Fuente</t>
  </si>
  <si>
    <t>Descuento Financiero</t>
  </si>
  <si>
    <t xml:space="preserve">Pago Total </t>
  </si>
  <si>
    <t>Descuento</t>
  </si>
  <si>
    <t>FEJO235</t>
  </si>
  <si>
    <t>Separadores en plastico</t>
  </si>
  <si>
    <t>Factura</t>
  </si>
  <si>
    <t>200_0000039783</t>
  </si>
  <si>
    <t>FEJO236</t>
  </si>
  <si>
    <t>FEJO237</t>
  </si>
  <si>
    <t>FEJO238</t>
  </si>
  <si>
    <t>FEJO239</t>
  </si>
  <si>
    <t>Soporte especial para monitor de signos vitales</t>
  </si>
  <si>
    <t>Nota Credito</t>
  </si>
  <si>
    <t>200_0000039784</t>
  </si>
  <si>
    <t>RTE FTE SERVICIOS 383 ET</t>
  </si>
  <si>
    <t>FEJO240</t>
  </si>
  <si>
    <t xml:space="preserve">TOTAL </t>
  </si>
  <si>
    <t>FEJO241</t>
  </si>
  <si>
    <t xml:space="preserve">Separadores en plastico </t>
  </si>
  <si>
    <t>TOTAL - DESCUENTO</t>
  </si>
  <si>
    <t>FEJO242</t>
  </si>
  <si>
    <t>FEJO243</t>
  </si>
  <si>
    <t>FEJO244</t>
  </si>
  <si>
    <t>SEPTIEMBRE</t>
  </si>
  <si>
    <t>FEJO245</t>
  </si>
  <si>
    <t>Reparacion y mantenimiento general puerta especial en pvc</t>
  </si>
  <si>
    <t>FEJO246</t>
  </si>
  <si>
    <t>FEJO247</t>
  </si>
  <si>
    <t>FEJO248</t>
  </si>
  <si>
    <t>Soporte de piernera mesa de cirugia</t>
  </si>
  <si>
    <t>FEJO249</t>
  </si>
  <si>
    <t>Mantenimiento de rodillo de transporte de paciente</t>
  </si>
  <si>
    <t>FEJO250</t>
  </si>
  <si>
    <t>Uso mantenimiento mesa quirurgica schmitz</t>
  </si>
  <si>
    <t>FEJO251</t>
  </si>
  <si>
    <t>FEJO252</t>
  </si>
  <si>
    <t>800149384-7</t>
  </si>
  <si>
    <t>FEJO253</t>
  </si>
  <si>
    <t>800149384-8</t>
  </si>
  <si>
    <t>FEJO254</t>
  </si>
  <si>
    <t>FEJO255</t>
  </si>
  <si>
    <t>800149384-10</t>
  </si>
  <si>
    <t>FEJO256</t>
  </si>
  <si>
    <t>800149384-11</t>
  </si>
  <si>
    <t>FEJO257</t>
  </si>
  <si>
    <t>800149384-12</t>
  </si>
  <si>
    <t>FEJO258</t>
  </si>
  <si>
    <t>800149384-13</t>
  </si>
  <si>
    <t>FEJO259</t>
  </si>
  <si>
    <t>800149384-14</t>
  </si>
  <si>
    <t>OCTUBRE</t>
  </si>
  <si>
    <t>FEJO260</t>
  </si>
  <si>
    <t>CENTROS MEDICOS COLSANITAS S.A.S</t>
  </si>
  <si>
    <t>Guaya de fijación de flujometro a toma con perno</t>
  </si>
  <si>
    <t>FEJO261</t>
  </si>
  <si>
    <t>FEJO262</t>
  </si>
  <si>
    <t>Soporte telonero para mesa de cirugía</t>
  </si>
  <si>
    <t>FEJO263</t>
  </si>
  <si>
    <t>FEJO264</t>
  </si>
  <si>
    <t>FEJO265</t>
  </si>
  <si>
    <t>FEJO266</t>
  </si>
  <si>
    <t>Tapizado elaborado en material cuerotex color negro</t>
  </si>
  <si>
    <t>FEJO267</t>
  </si>
  <si>
    <t>Arreglo de prensa mesa de cirugia posicionador de cadera</t>
  </si>
  <si>
    <t>FEJO268</t>
  </si>
  <si>
    <t>Uso escalerilla de tres pasos con baranda de apoyo</t>
  </si>
  <si>
    <t>NOVIEMBRE</t>
  </si>
  <si>
    <t>FEJO269</t>
  </si>
  <si>
    <t>Descansapies en nylon</t>
  </si>
  <si>
    <t>FEJO270</t>
  </si>
  <si>
    <t>Placas en hempack negro con perforaciones para anclaje a piernero</t>
  </si>
  <si>
    <t>FEJO271</t>
  </si>
  <si>
    <t>FEJO272</t>
  </si>
  <si>
    <t>Topes de goma anti impacto para tac.</t>
  </si>
  <si>
    <t>FEJO273</t>
  </si>
  <si>
    <t>Soporte para gastroscopio</t>
  </si>
  <si>
    <t>FEJO274</t>
  </si>
  <si>
    <t>FEJO275</t>
  </si>
  <si>
    <t>FEJO276</t>
  </si>
  <si>
    <t>FEJO277</t>
  </si>
  <si>
    <t>FEJO278</t>
  </si>
  <si>
    <t>Mantenimiento carros de transporte de esterilizacion</t>
  </si>
  <si>
    <t>FEJO279</t>
  </si>
  <si>
    <t>Piezas en bronce laton para flujometros de oxigeno conectores para con regulador</t>
  </si>
  <si>
    <t>FEJO280</t>
  </si>
  <si>
    <t>FEJO281</t>
  </si>
  <si>
    <t>FEJO282</t>
  </si>
  <si>
    <t>DICIEMBRE</t>
  </si>
  <si>
    <t>FEJO283</t>
  </si>
  <si>
    <t>Uso mueble para videocolonoscopio</t>
  </si>
  <si>
    <t>FEJO284</t>
  </si>
  <si>
    <t>FEJO285</t>
  </si>
  <si>
    <t>Soporte para bala de oxigeno</t>
  </si>
  <si>
    <t>FEJO286</t>
  </si>
  <si>
    <t>Portalampara esterilizable alc ref 1583966 para lampara cielitica trumpf iled 3/3</t>
  </si>
  <si>
    <t>FEJO287</t>
  </si>
  <si>
    <t>FEJO288</t>
  </si>
  <si>
    <t>FEJO289</t>
  </si>
  <si>
    <t>Gradilla para teteros</t>
  </si>
  <si>
    <t>FEJO290</t>
  </si>
  <si>
    <t>FEJO291</t>
  </si>
  <si>
    <t>FEJO292</t>
  </si>
  <si>
    <t>FEJO293</t>
  </si>
  <si>
    <t>FEJO294</t>
  </si>
  <si>
    <t>FEJO295</t>
  </si>
  <si>
    <t>FEJO296</t>
  </si>
  <si>
    <t>FEJO297</t>
  </si>
  <si>
    <t>FEJO298</t>
  </si>
  <si>
    <t>FEJO299</t>
  </si>
  <si>
    <t>FEJO300</t>
  </si>
  <si>
    <t>FEJO301</t>
  </si>
  <si>
    <t>FEJO302</t>
  </si>
  <si>
    <t>FEJO303</t>
  </si>
  <si>
    <t>FEJO304</t>
  </si>
  <si>
    <t>FEJO305</t>
  </si>
  <si>
    <t>FEJO306</t>
  </si>
  <si>
    <t>NOTAS CREDITO</t>
  </si>
  <si>
    <t>Nº NC</t>
  </si>
  <si>
    <t>NC9</t>
  </si>
  <si>
    <t>FACTURACIÓN 2024</t>
  </si>
  <si>
    <t>FEJO307</t>
  </si>
  <si>
    <t>FEJO308</t>
  </si>
  <si>
    <t>CENTROS MEDICOS COLSANITAS</t>
  </si>
  <si>
    <t>Protector universal para detector de equipo RC portatil</t>
  </si>
  <si>
    <t>FEJO309</t>
  </si>
  <si>
    <t>Soporte de Piernera Mesa de cirugia</t>
  </si>
  <si>
    <t>FEJO310</t>
  </si>
  <si>
    <t>Mantenimiento Silla de Ruedas</t>
  </si>
  <si>
    <t>FEJO311</t>
  </si>
  <si>
    <t>Soporte en acrilico para endoscopio</t>
  </si>
  <si>
    <t>FEJO312</t>
  </si>
  <si>
    <t xml:space="preserve"> 900298372-9</t>
  </si>
  <si>
    <t>CAPITAL SALUD ENTIDAD PROMOTORA DE SALUD DEL REGIMEN SUBSIDIADO SAS</t>
  </si>
  <si>
    <t>Soporte metalico para bicicleta</t>
  </si>
  <si>
    <t>FEJO313</t>
  </si>
  <si>
    <t>FEJO314</t>
  </si>
  <si>
    <t xml:space="preserve"> 830075422-8</t>
  </si>
  <si>
    <t xml:space="preserve"> OXIREDES S.A.S</t>
  </si>
  <si>
    <t>Mercanizado de acople metalico</t>
  </si>
  <si>
    <t>FEJO315</t>
  </si>
  <si>
    <t>Colchoneta</t>
  </si>
  <si>
    <t>FEJO316</t>
  </si>
  <si>
    <t>soporte para circuitos de maquina de anestesia</t>
  </si>
  <si>
    <t>FEJO317</t>
  </si>
  <si>
    <t>Soporte Monitor MiniBox</t>
  </si>
  <si>
    <t>FEJO318</t>
  </si>
  <si>
    <t>Topes Para Camilla</t>
  </si>
  <si>
    <t>NO PAGADO</t>
  </si>
  <si>
    <t>FEJO319</t>
  </si>
  <si>
    <t>Uso Mantenimiento Sede</t>
  </si>
  <si>
    <t>FEJO320</t>
  </si>
  <si>
    <t>FEJO321</t>
  </si>
  <si>
    <t>juego de estribos(dados)mesa cx</t>
  </si>
  <si>
    <t>FEJO322</t>
  </si>
  <si>
    <t>FEJO323</t>
  </si>
  <si>
    <t>atril portatil con dos ganchos portasueros</t>
  </si>
  <si>
    <t>FEJO324</t>
  </si>
  <si>
    <t>900298372-9</t>
  </si>
  <si>
    <t>mano de obra soldadura</t>
  </si>
  <si>
    <t>FEJO325</t>
  </si>
  <si>
    <t>800228667-4</t>
  </si>
  <si>
    <t>MUEBLES HOSPITALARIOS MB SAS</t>
  </si>
  <si>
    <t>Tapón para muleta</t>
  </si>
  <si>
    <t>PENDIENTE</t>
  </si>
  <si>
    <t>FEJO326</t>
  </si>
  <si>
    <t>soportes metalicos para monitores en salas de cirugia</t>
  </si>
  <si>
    <t>FEJO327</t>
  </si>
  <si>
    <t>FEJO328</t>
  </si>
  <si>
    <t>Credito</t>
  </si>
  <si>
    <t>FEJO329</t>
  </si>
  <si>
    <t>placas en hempack negro con perforaciones para anclaje a piernero</t>
  </si>
  <si>
    <t>FEJO330</t>
  </si>
  <si>
    <t>gradilla para teteros</t>
  </si>
  <si>
    <t>FEJO331</t>
  </si>
  <si>
    <t>acople en material de bronce, , varilla de acero inoxidable 306
de diametro 5/8 tope graduable
prisionero</t>
  </si>
  <si>
    <t>FEJO332</t>
  </si>
  <si>
    <t>placa para anclaje de monitor en material collrolled</t>
  </si>
  <si>
    <t>FEJO333</t>
  </si>
  <si>
    <t>soporte de craneo mesa schmitc en acero inoxidable ref 304</t>
  </si>
  <si>
    <t>FEJO334</t>
  </si>
  <si>
    <t>manguera nitrogeno con una punta de acople ajuste rapido y otra punta acople tipo diss</t>
  </si>
  <si>
    <t>FEJO335</t>
  </si>
  <si>
    <t>topes magneticos para puerta</t>
  </si>
  <si>
    <t>FEJO336</t>
  </si>
  <si>
    <t>mano de obra especializado</t>
  </si>
  <si>
    <t>FEJO337</t>
  </si>
  <si>
    <t>protector universal para detector de equipo RX portatil</t>
  </si>
  <si>
    <t>FEJO338</t>
  </si>
  <si>
    <t>900888159-8</t>
  </si>
  <si>
    <t xml:space="preserve">COMERCIALIZADORA TIC SAS </t>
  </si>
  <si>
    <t>paso plastico para escalerilla</t>
  </si>
  <si>
    <t>FEJO339</t>
  </si>
  <si>
    <t>800149384-6_x000D_</t>
  </si>
  <si>
    <t>rueda de 4"en poliuretano sin
freno_x000D_</t>
  </si>
  <si>
    <t>FEJO340</t>
  </si>
  <si>
    <t>soporte en acrilico para endoscopio</t>
  </si>
  <si>
    <t>FEJO341</t>
  </si>
  <si>
    <t>araña soporte para detector de mesa de cx</t>
  </si>
  <si>
    <t>FEJO342</t>
  </si>
  <si>
    <t>hallazgo ambiente fisico</t>
  </si>
  <si>
    <t>FEJO343</t>
  </si>
  <si>
    <t>uso sumin e inst de bandeja para mesa riñonera en acero inox 304 calibre16</t>
  </si>
  <si>
    <t>FEJO344</t>
  </si>
  <si>
    <t>FEJO345</t>
  </si>
  <si>
    <t>mantenimiento preventivo de carro de transporte de pesas</t>
  </si>
  <si>
    <t>FEJO346</t>
  </si>
  <si>
    <t>protector para monitor multimarca</t>
  </si>
  <si>
    <t>FEJO347</t>
  </si>
  <si>
    <t>FEJO348</t>
  </si>
  <si>
    <t>FEJO349</t>
  </si>
  <si>
    <t>ELECTRONICA MEDICA Y CONTROL EMCO S,A.S</t>
  </si>
  <si>
    <t>FEJO350</t>
  </si>
  <si>
    <t>Arreglo de brazo de lampara cielitica</t>
  </si>
  <si>
    <t>FEJO351</t>
  </si>
  <si>
    <t>mecanismo soporte rotativo para lampara cieleitica</t>
  </si>
  <si>
    <t>FEJO352</t>
  </si>
  <si>
    <t xml:space="preserve">instalacion soportes y repisas </t>
  </si>
  <si>
    <t>FEJO353</t>
  </si>
  <si>
    <t>instalacion soportes y repisas</t>
  </si>
  <si>
    <t>FEJO354</t>
  </si>
  <si>
    <t>FEJO355</t>
  </si>
  <si>
    <t>mantenimiento y prueba de presion estatica gabinetes y manguera</t>
  </si>
  <si>
    <t>FEJO356</t>
  </si>
  <si>
    <t>FEJO357</t>
  </si>
  <si>
    <t>guaya para fijacion de flujometro a toma con perno</t>
  </si>
  <si>
    <t>FEJO358</t>
  </si>
  <si>
    <t>FEJO359</t>
  </si>
  <si>
    <t>FEJO360</t>
  </si>
  <si>
    <t>prensa soporte para ventilador mecanico</t>
  </si>
  <si>
    <t>FEJO361</t>
  </si>
  <si>
    <t>base para ventilador mecanico eq medico</t>
  </si>
  <si>
    <t>FEJO362</t>
  </si>
  <si>
    <t>FEJO363</t>
  </si>
  <si>
    <t>FEJO364</t>
  </si>
  <si>
    <t>kit de seguridad en acero inoxidable y base en aluminio</t>
  </si>
  <si>
    <t>FEJO365</t>
  </si>
  <si>
    <t>soporte en acrílico para endoscopio</t>
  </si>
  <si>
    <t>FEJO366</t>
  </si>
  <si>
    <t>FEJO367</t>
  </si>
  <si>
    <t>FEJO368</t>
  </si>
  <si>
    <t>sumin. e inst de polea para sistema de extraccion de olores</t>
  </si>
  <si>
    <t>FEJO369</t>
  </si>
  <si>
    <t>uso mantenimiento sede</t>
  </si>
  <si>
    <t>FEJO370</t>
  </si>
  <si>
    <t>rueda de 4"en poliuretano sin freno</t>
  </si>
  <si>
    <t>FEJO371</t>
  </si>
  <si>
    <t>FEJO372</t>
  </si>
  <si>
    <t>uso mantenimiento correctivo para mesa quirurgica</t>
  </si>
  <si>
    <t>FEJO373</t>
  </si>
  <si>
    <t>FEJO374</t>
  </si>
  <si>
    <t>FEJO375</t>
  </si>
  <si>
    <t>FEJO376</t>
  </si>
  <si>
    <t>Uso repisa en acero inoxidable</t>
  </si>
  <si>
    <t>FEJO377</t>
  </si>
  <si>
    <t>uso mesa en acero inoxidable</t>
  </si>
  <si>
    <t>FEJO378</t>
  </si>
  <si>
    <t>suministro e instalacion barandas de seguridad tuberia redonda acero inoxidable</t>
  </si>
  <si>
    <t>FEJO379</t>
  </si>
  <si>
    <t>soporte de bala de oxigeno para carro de paro</t>
  </si>
  <si>
    <t>FACTURACIÓN 2025</t>
  </si>
  <si>
    <t>-</t>
  </si>
  <si>
    <t>FEJO380</t>
  </si>
  <si>
    <t>COMERCIALIZADORA TIC SAS_x000D_</t>
  </si>
  <si>
    <t>Paso Plástico</t>
  </si>
  <si>
    <t>FEJO381</t>
  </si>
  <si>
    <t xml:space="preserve"> CLINICA COLSANITAS S.A</t>
  </si>
  <si>
    <t>mecanismo soporte rotativo para lampara cieleitica_x000D_</t>
  </si>
  <si>
    <t>FEJO382</t>
  </si>
  <si>
    <t>860500862-8</t>
  </si>
  <si>
    <t>ROCHEM BIOCARE COLOMBIA SAS_x000D_</t>
  </si>
  <si>
    <t>herramientade calibracionpara autostainer</t>
  </si>
  <si>
    <t>FEJO383</t>
  </si>
  <si>
    <t>rodillo para movilizar paciente</t>
  </si>
  <si>
    <t>CREDITO</t>
  </si>
  <si>
    <t>FEJO384</t>
  </si>
  <si>
    <t>FEJO385</t>
  </si>
  <si>
    <t>FEJO386</t>
  </si>
  <si>
    <t>FEJO387</t>
  </si>
  <si>
    <t>Separadores en plástico</t>
  </si>
  <si>
    <t>FEJO388</t>
  </si>
  <si>
    <t>FEJO389</t>
  </si>
  <si>
    <t>CENTROS MÉDICOS COLSANITAS SAS</t>
  </si>
  <si>
    <t>FEJO390</t>
  </si>
  <si>
    <t>Mano de Obra Especializado</t>
  </si>
  <si>
    <t>FEJO391</t>
  </si>
  <si>
    <t>FEJO392</t>
  </si>
  <si>
    <t>FEJO393</t>
  </si>
  <si>
    <t>protector universal para detector de equipo RX portatil_x000D_</t>
  </si>
  <si>
    <t>FEJO394</t>
  </si>
  <si>
    <t>uso panel para montaje de equipo de organos de los sentidos_x000D_</t>
  </si>
  <si>
    <t>FEJO395</t>
  </si>
  <si>
    <t>protector acrilico monitor de signos vitales</t>
  </si>
  <si>
    <t>FEJO396</t>
  </si>
  <si>
    <t>FEJO397</t>
  </si>
  <si>
    <t>FEJO398</t>
  </si>
  <si>
    <t>protector acrilico monitor de signos vitales_x000D_</t>
  </si>
  <si>
    <t>FEJO399</t>
  </si>
  <si>
    <t>restauracion pintura general poliuretano para rx portatil_x000D_</t>
  </si>
  <si>
    <t>FEJO400</t>
  </si>
  <si>
    <t>mantenimiento y prueba de presion estatica gabinetes y manguera_x000D_</t>
  </si>
  <si>
    <t>FEJO401</t>
  </si>
  <si>
    <t>soporte sistema de freno</t>
  </si>
  <si>
    <t>FEJO402</t>
  </si>
  <si>
    <t xml:space="preserve">mano de obra especializado </t>
  </si>
  <si>
    <t>FEJO403</t>
  </si>
  <si>
    <t>FEJO404</t>
  </si>
  <si>
    <t>FEJO405</t>
  </si>
  <si>
    <t>811030191-9_x000D_</t>
  </si>
  <si>
    <t>EQUIITRONIC SAS</t>
  </si>
  <si>
    <t>Arreglo Carcasa</t>
  </si>
  <si>
    <t>FEJO406</t>
  </si>
  <si>
    <t>901358559-0_x000D_</t>
  </si>
  <si>
    <t>REINGENIERIA INTEGRAL SAS</t>
  </si>
  <si>
    <t>Instalación de Vidrio</t>
  </si>
  <si>
    <t>FEJO407</t>
  </si>
  <si>
    <t>900926809-0</t>
  </si>
  <si>
    <t>EQUIPOS INDUSTRIALES PENAGOS SAS</t>
  </si>
  <si>
    <t>Piezas para Atriles</t>
  </si>
  <si>
    <t>FEJO408</t>
  </si>
  <si>
    <t>FEJO409</t>
  </si>
  <si>
    <t>Piezas varias</t>
  </si>
  <si>
    <t>EFECTIVO</t>
  </si>
  <si>
    <t>Pago</t>
  </si>
  <si>
    <t>Proveedor de Remito</t>
  </si>
  <si>
    <t>Sucursal de Proveedor de Remito</t>
  </si>
  <si>
    <t>Fecha de Pago</t>
  </si>
  <si>
    <t>Divisa</t>
  </si>
  <si>
    <t>Importe</t>
  </si>
  <si>
    <t>Método</t>
  </si>
  <si>
    <t>Estado</t>
  </si>
  <si>
    <t>Fecha de Estado</t>
  </si>
  <si>
    <t>Cuenta Bancaria</t>
  </si>
  <si>
    <t>Número OC</t>
  </si>
  <si>
    <t>Proveedor</t>
  </si>
  <si>
    <t>JAIRO OBANDO OCHOA</t>
  </si>
  <si>
    <t>CLI_PROVEEDOR</t>
  </si>
  <si>
    <t>COP</t>
  </si>
  <si>
    <t>11,785,612</t>
  </si>
  <si>
    <t>Electrónico</t>
  </si>
  <si>
    <t>Negociable</t>
  </si>
  <si>
    <t>DAVIVIENDA 00550116842</t>
  </si>
  <si>
    <t>Múltiple</t>
  </si>
  <si>
    <t>1,989,813</t>
  </si>
  <si>
    <t>6,448,130</t>
  </si>
  <si>
    <t>3,196,334</t>
  </si>
  <si>
    <t>CME_PROVEEDOR</t>
  </si>
  <si>
    <t>3,026,969</t>
  </si>
  <si>
    <t>DAVIVIENDA AHORROS 482370050825</t>
  </si>
  <si>
    <t>49,511,553</t>
  </si>
  <si>
    <t>3,043,648</t>
  </si>
  <si>
    <t>11,550,809</t>
  </si>
  <si>
    <t>Anulado</t>
  </si>
  <si>
    <t>1,508,289</t>
  </si>
  <si>
    <t>DAVIVIENDA 005569999658</t>
  </si>
  <si>
    <t>2,284,684</t>
  </si>
  <si>
    <t>COL_PROVEEDOR</t>
  </si>
  <si>
    <t>COL WFP BCO KERALTY</t>
  </si>
  <si>
    <t>EPS_PROVEEDOR</t>
  </si>
  <si>
    <t>3,021,184</t>
  </si>
  <si>
    <t>DAVIVIENDA 0055 6999717-3</t>
  </si>
  <si>
    <t>4,464,422</t>
  </si>
  <si>
    <t>10,039,481</t>
  </si>
  <si>
    <t>15,715,862</t>
  </si>
  <si>
    <t>3,484,500</t>
  </si>
  <si>
    <t>4,479,331</t>
  </si>
  <si>
    <t>5,474,530</t>
  </si>
  <si>
    <t>14,806,909</t>
  </si>
  <si>
    <t>5,330,208</t>
  </si>
  <si>
    <t>1,457,306</t>
  </si>
  <si>
    <t>3,032,147</t>
  </si>
  <si>
    <t>1,283,831</t>
  </si>
  <si>
    <t>3,293,524</t>
  </si>
  <si>
    <t>2,149,628</t>
  </si>
  <si>
    <t>2,635,850</t>
  </si>
  <si>
    <t>2,102,210</t>
  </si>
  <si>
    <t>2,887,196</t>
  </si>
  <si>
    <t>Cheque</t>
  </si>
  <si>
    <t>PAGOS TESORERIA COP</t>
  </si>
  <si>
    <t>1,992,393</t>
  </si>
  <si>
    <t>2,160,883</t>
  </si>
  <si>
    <t>GIRO_DIA_02_DIC_2022</t>
  </si>
  <si>
    <t>4,026,873</t>
  </si>
  <si>
    <t>GIRO_DIA_16_DIC_2022</t>
  </si>
  <si>
    <t>1,243,715</t>
  </si>
  <si>
    <t>FEJO160</t>
  </si>
  <si>
    <t>4,708,807</t>
  </si>
  <si>
    <t>4,981,805</t>
  </si>
  <si>
    <t>1,713,655</t>
  </si>
  <si>
    <t>FEJO158</t>
  </si>
  <si>
    <t>1,005,055</t>
  </si>
  <si>
    <t>5,884,218</t>
  </si>
  <si>
    <t>1,125,460</t>
  </si>
  <si>
    <t>FEJO136</t>
  </si>
  <si>
    <t>2,689,405</t>
  </si>
  <si>
    <t>3,852,660</t>
  </si>
  <si>
    <t>FEJO144</t>
  </si>
  <si>
    <t>1,407,700</t>
  </si>
  <si>
    <t>2,765,976</t>
  </si>
  <si>
    <t>3,573,718</t>
  </si>
  <si>
    <t>4,069,585</t>
  </si>
  <si>
    <t>4,386,317</t>
  </si>
  <si>
    <t>FEJO112</t>
  </si>
  <si>
    <t>2,456,760</t>
  </si>
  <si>
    <t>FEJO125</t>
  </si>
  <si>
    <t>FEJO116</t>
  </si>
  <si>
    <t>1,048,369</t>
  </si>
  <si>
    <t>FEJO113</t>
  </si>
  <si>
    <t>1,992,151</t>
  </si>
  <si>
    <t>FEJO110</t>
  </si>
  <si>
    <t>2,959,960</t>
  </si>
  <si>
    <t>200_0000017689</t>
  </si>
  <si>
    <t>4,439,064</t>
  </si>
  <si>
    <t>FEJO107</t>
  </si>
  <si>
    <t>FEJO105</t>
  </si>
  <si>
    <t>200_0000017043</t>
  </si>
  <si>
    <t>FEJO100</t>
  </si>
  <si>
    <t>3,072,035</t>
  </si>
  <si>
    <t>3,331,380</t>
  </si>
  <si>
    <t>FEJO82</t>
  </si>
  <si>
    <t>4,532,475</t>
  </si>
  <si>
    <t>2,170,115</t>
  </si>
  <si>
    <t>FEJO76</t>
  </si>
  <si>
    <t>1,575,644</t>
  </si>
  <si>
    <t>FEJO68</t>
  </si>
  <si>
    <t>200_0000012868</t>
  </si>
  <si>
    <t>SAO_PROVEEDOR</t>
  </si>
  <si>
    <t>3,372,591</t>
  </si>
  <si>
    <t>DAVIVIENDA AHO 055-00072797</t>
  </si>
  <si>
    <t>FEJO70</t>
  </si>
  <si>
    <t>FEJO55</t>
  </si>
  <si>
    <t>1,554,644</t>
  </si>
  <si>
    <t>FEJO50</t>
  </si>
  <si>
    <t>1,747,281</t>
  </si>
  <si>
    <t>FEJO53</t>
  </si>
  <si>
    <t>1,350,552</t>
  </si>
  <si>
    <t>FEJO44</t>
  </si>
  <si>
    <t>FEJO49</t>
  </si>
  <si>
    <t>FEJO42</t>
  </si>
  <si>
    <t>FEJO40</t>
  </si>
  <si>
    <t>FEJO46</t>
  </si>
  <si>
    <t>1,328,101</t>
  </si>
  <si>
    <t>FEJO45</t>
  </si>
  <si>
    <t>200_0000010173</t>
  </si>
  <si>
    <t>FEJO41</t>
  </si>
  <si>
    <t>8,699,806</t>
  </si>
  <si>
    <t>FEJO17</t>
  </si>
  <si>
    <t>FEJO25</t>
  </si>
  <si>
    <t>FEJO16</t>
  </si>
  <si>
    <t>3,939,110</t>
  </si>
  <si>
    <t>FEJO11</t>
  </si>
  <si>
    <t>4,659,404</t>
  </si>
  <si>
    <t>FEJO6</t>
  </si>
  <si>
    <t>1,867,891</t>
  </si>
  <si>
    <t>FEJO9</t>
  </si>
  <si>
    <t>1,345,800</t>
  </si>
  <si>
    <t>CLI_BOGOTA</t>
  </si>
  <si>
    <t>2,331,966</t>
  </si>
  <si>
    <t>2,138,374</t>
  </si>
  <si>
    <t>1,001,659</t>
  </si>
  <si>
    <t>1,492,371</t>
  </si>
  <si>
    <t>2,749,432</t>
  </si>
  <si>
    <t>12,160,060</t>
  </si>
  <si>
    <t>11,772,312</t>
  </si>
  <si>
    <t>3,072,506</t>
  </si>
  <si>
    <t>28,828,657</t>
  </si>
  <si>
    <t>3,353,871</t>
  </si>
  <si>
    <t>2,265,339</t>
  </si>
  <si>
    <t>7,289,874</t>
  </si>
  <si>
    <t>1,069,187</t>
  </si>
  <si>
    <t>1,873,237</t>
  </si>
  <si>
    <t>1,485,607</t>
  </si>
  <si>
    <t>2,190,920</t>
  </si>
  <si>
    <t>3,800,610</t>
  </si>
  <si>
    <t>9,092,318</t>
  </si>
  <si>
    <t>4,272,294</t>
  </si>
  <si>
    <t>1,174,595</t>
  </si>
  <si>
    <t>1,170,479</t>
  </si>
  <si>
    <t>1,865,573</t>
  </si>
  <si>
    <t>1,744,463</t>
  </si>
  <si>
    <t>2,476,012</t>
  </si>
  <si>
    <t>1,635,690</t>
  </si>
  <si>
    <t>FUS_BOGOTA</t>
  </si>
  <si>
    <t>1,824,544</t>
  </si>
  <si>
    <t>DAVIVIENDA AHO 0055-70278589</t>
  </si>
  <si>
    <t>2,363,466</t>
  </si>
  <si>
    <t>2,442,630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</si>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</sst>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.00\ _$_-;\-* #,##0.00\ _$_-;_-* &quot;-&quot;??\ _$_-;_-@_-"/>
    <numFmt numFmtId="166" formatCode="_-* #,##0\ _$_-;\-* #,##0\ _$_-;_-* &quot;-&quot;??\ _$_-;_-@_-"/>
    <numFmt numFmtId="167" formatCode="_-&quot;$&quot;\ * #,##0_-;\-&quot;$&quot;\ * #,##0_-;_-&quot;$&quot;\ 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24242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3C3C3C"/>
      <name val="Tahoma"/>
      <family val="2"/>
    </font>
    <font>
      <sz val="12"/>
      <color rgb="FF24242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</cellStyleXfs>
  <cellXfs count="205">
    <xf numFmtId="0" fontId="0" fillId="0" borderId="0" xfId="0"/>
    <xf numFmtId="0" fontId="0" fillId="0" borderId="0" xfId="0" applyAlignment="1">
      <alignment horizontal="center"/>
    </xf>
    <xf numFmtId="167" fontId="3" fillId="0" borderId="0" xfId="3" applyNumberFormat="1" applyFont="1"/>
    <xf numFmtId="167" fontId="0" fillId="0" borderId="0" xfId="0" applyNumberFormat="1"/>
    <xf numFmtId="0" fontId="6" fillId="0" borderId="0" xfId="0" applyFont="1" applyAlignment="1">
      <alignment vertical="center" textRotation="255" wrapText="1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167" fontId="3" fillId="0" borderId="1" xfId="3" applyNumberFormat="1" applyFont="1" applyBorder="1"/>
    <xf numFmtId="167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167" fontId="6" fillId="2" borderId="1" xfId="3" applyNumberFormat="1" applyFont="1" applyFill="1" applyBorder="1"/>
    <xf numFmtId="167" fontId="6" fillId="2" borderId="1" xfId="3" applyNumberFormat="1" applyFont="1" applyFill="1" applyBorder="1" applyAlignment="1">
      <alignment horizontal="center"/>
    </xf>
    <xf numFmtId="0" fontId="7" fillId="0" borderId="27" xfId="4" applyFont="1" applyBorder="1" applyAlignment="1">
      <alignment horizontal="center" vertical="center" wrapText="1"/>
    </xf>
    <xf numFmtId="0" fontId="7" fillId="0" borderId="28" xfId="4" applyFont="1" applyBorder="1" applyAlignment="1">
      <alignment horizontal="center" vertical="center" wrapText="1"/>
    </xf>
    <xf numFmtId="166" fontId="7" fillId="0" borderId="28" xfId="2" applyNumberFormat="1" applyFont="1" applyFill="1" applyBorder="1" applyAlignment="1">
      <alignment horizontal="center" vertical="center" wrapText="1"/>
    </xf>
    <xf numFmtId="166" fontId="7" fillId="0" borderId="29" xfId="2" applyNumberFormat="1" applyFont="1" applyFill="1" applyBorder="1" applyAlignment="1">
      <alignment horizontal="center" vertical="center" wrapText="1"/>
    </xf>
    <xf numFmtId="166" fontId="7" fillId="0" borderId="2" xfId="2" applyNumberFormat="1" applyFont="1" applyFill="1" applyBorder="1" applyAlignment="1">
      <alignment horizontal="center" vertical="center" wrapText="1"/>
    </xf>
    <xf numFmtId="0" fontId="7" fillId="0" borderId="2" xfId="2" applyNumberFormat="1" applyFont="1" applyFill="1" applyBorder="1" applyAlignment="1">
      <alignment horizontal="center" vertical="center" wrapText="1"/>
    </xf>
    <xf numFmtId="166" fontId="7" fillId="0" borderId="3" xfId="2" applyNumberFormat="1" applyFont="1" applyFill="1" applyBorder="1" applyAlignment="1">
      <alignment horizontal="center" vertical="center" wrapText="1"/>
    </xf>
    <xf numFmtId="0" fontId="8" fillId="0" borderId="4" xfId="4" applyFont="1" applyBorder="1" applyAlignment="1">
      <alignment horizontal="center" vertical="center"/>
    </xf>
    <xf numFmtId="166" fontId="7" fillId="0" borderId="0" xfId="2" applyNumberFormat="1" applyFont="1" applyFill="1" applyBorder="1" applyAlignment="1">
      <alignment horizontal="center" vertical="center" wrapText="1"/>
    </xf>
    <xf numFmtId="166" fontId="9" fillId="0" borderId="0" xfId="2" applyNumberFormat="1" applyFont="1" applyFill="1" applyAlignment="1">
      <alignment horizontal="center" vertical="center"/>
    </xf>
    <xf numFmtId="0" fontId="9" fillId="0" borderId="0" xfId="4" applyFont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4" fontId="10" fillId="0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9" xfId="0" applyNumberFormat="1" applyBorder="1" applyAlignment="1">
      <alignment horizontal="center" vertical="center"/>
    </xf>
    <xf numFmtId="166" fontId="3" fillId="0" borderId="7" xfId="1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7" fontId="10" fillId="0" borderId="1" xfId="3" applyNumberFormat="1" applyFont="1" applyFill="1" applyBorder="1" applyAlignment="1">
      <alignment horizontal="center" vertical="center"/>
    </xf>
    <xf numFmtId="167" fontId="3" fillId="0" borderId="10" xfId="3" applyNumberFormat="1" applyFont="1" applyFill="1" applyBorder="1" applyAlignment="1">
      <alignment horizontal="center" vertical="center"/>
    </xf>
    <xf numFmtId="167" fontId="3" fillId="0" borderId="10" xfId="3" applyNumberFormat="1" applyFont="1" applyBorder="1" applyAlignment="1">
      <alignment horizontal="center" vertical="center"/>
    </xf>
    <xf numFmtId="167" fontId="3" fillId="0" borderId="1" xfId="3" applyNumberFormat="1" applyFont="1" applyBorder="1" applyAlignment="1">
      <alignment horizontal="center" vertical="center"/>
    </xf>
    <xf numFmtId="167" fontId="3" fillId="0" borderId="1" xfId="3" applyNumberFormat="1" applyFont="1" applyFill="1" applyBorder="1"/>
    <xf numFmtId="167" fontId="3" fillId="0" borderId="7" xfId="3" applyNumberFormat="1" applyFont="1" applyFill="1" applyBorder="1" applyAlignment="1">
      <alignment horizontal="center" vertical="center"/>
    </xf>
    <xf numFmtId="167" fontId="3" fillId="0" borderId="1" xfId="3" applyNumberFormat="1" applyFont="1" applyFill="1" applyBorder="1" applyAlignment="1">
      <alignment horizontal="center" vertical="center"/>
    </xf>
    <xf numFmtId="167" fontId="10" fillId="0" borderId="10" xfId="3" applyNumberFormat="1" applyFont="1" applyFill="1" applyBorder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67" fontId="3" fillId="0" borderId="1" xfId="3" applyNumberFormat="1" applyFont="1" applyBorder="1" applyAlignment="1">
      <alignment horizontal="center"/>
    </xf>
    <xf numFmtId="167" fontId="0" fillId="7" borderId="1" xfId="0" applyNumberFormat="1" applyFill="1" applyBorder="1"/>
    <xf numFmtId="167" fontId="7" fillId="0" borderId="2" xfId="3" applyNumberFormat="1" applyFont="1" applyFill="1" applyBorder="1" applyAlignment="1">
      <alignment horizontal="center" vertical="center" wrapText="1"/>
    </xf>
    <xf numFmtId="167" fontId="3" fillId="0" borderId="0" xfId="3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/>
    </xf>
    <xf numFmtId="167" fontId="5" fillId="0" borderId="1" xfId="3" applyNumberFormat="1" applyFont="1" applyBorder="1"/>
    <xf numFmtId="167" fontId="5" fillId="0" borderId="1" xfId="0" applyNumberFormat="1" applyFont="1" applyBorder="1"/>
    <xf numFmtId="167" fontId="5" fillId="0" borderId="1" xfId="3" applyNumberFormat="1" applyFont="1" applyBorder="1" applyAlignment="1">
      <alignment horizontal="center"/>
    </xf>
    <xf numFmtId="167" fontId="0" fillId="8" borderId="1" xfId="0" applyNumberFormat="1" applyFill="1" applyBorder="1"/>
    <xf numFmtId="0" fontId="6" fillId="0" borderId="1" xfId="0" applyFont="1" applyBorder="1" applyAlignment="1">
      <alignment horizontal="center" vertical="center" wrapText="1"/>
    </xf>
    <xf numFmtId="164" fontId="3" fillId="0" borderId="1" xfId="3" applyFont="1" applyBorder="1"/>
    <xf numFmtId="0" fontId="6" fillId="8" borderId="1" xfId="0" applyFont="1" applyFill="1" applyBorder="1"/>
    <xf numFmtId="0" fontId="11" fillId="8" borderId="1" xfId="0" applyFont="1" applyFill="1" applyBorder="1"/>
    <xf numFmtId="14" fontId="6" fillId="8" borderId="1" xfId="0" applyNumberFormat="1" applyFont="1" applyFill="1" applyBorder="1"/>
    <xf numFmtId="167" fontId="6" fillId="8" borderId="1" xfId="3" applyNumberFormat="1" applyFont="1" applyFill="1" applyBorder="1"/>
    <xf numFmtId="0" fontId="11" fillId="0" borderId="1" xfId="0" applyFont="1" applyBorder="1"/>
    <xf numFmtId="0" fontId="6" fillId="0" borderId="1" xfId="0" applyFont="1" applyBorder="1"/>
    <xf numFmtId="167" fontId="6" fillId="0" borderId="1" xfId="3" applyNumberFormat="1" applyFont="1" applyBorder="1"/>
    <xf numFmtId="0" fontId="12" fillId="0" borderId="0" xfId="0" applyFont="1" applyAlignment="1">
      <alignment wrapText="1"/>
    </xf>
    <xf numFmtId="0" fontId="13" fillId="0" borderId="0" xfId="0" applyFont="1"/>
    <xf numFmtId="0" fontId="0" fillId="8" borderId="1" xfId="0" applyFill="1" applyBorder="1" applyAlignment="1">
      <alignment horizontal="center"/>
    </xf>
    <xf numFmtId="14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5" fontId="0" fillId="0" borderId="0" xfId="0" applyNumberFormat="1"/>
    <xf numFmtId="164" fontId="3" fillId="0" borderId="0" xfId="3" applyFont="1"/>
    <xf numFmtId="0" fontId="0" fillId="0" borderId="7" xfId="0" applyBorder="1" applyAlignment="1">
      <alignment horizontal="center"/>
    </xf>
    <xf numFmtId="167" fontId="0" fillId="2" borderId="1" xfId="0" applyNumberFormat="1" applyFill="1" applyBorder="1"/>
    <xf numFmtId="0" fontId="0" fillId="8" borderId="1" xfId="0" applyFill="1" applyBorder="1"/>
    <xf numFmtId="14" fontId="0" fillId="8" borderId="1" xfId="0" applyNumberFormat="1" applyFill="1" applyBorder="1" applyAlignment="1">
      <alignment horizontal="center"/>
    </xf>
    <xf numFmtId="167" fontId="3" fillId="8" borderId="1" xfId="3" applyNumberFormat="1" applyFont="1" applyFill="1" applyBorder="1"/>
    <xf numFmtId="167" fontId="0" fillId="0" borderId="11" xfId="0" applyNumberFormat="1" applyBorder="1"/>
    <xf numFmtId="166" fontId="7" fillId="0" borderId="12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167" fontId="3" fillId="0" borderId="11" xfId="3" applyNumberFormat="1" applyFont="1" applyBorder="1"/>
    <xf numFmtId="0" fontId="7" fillId="0" borderId="30" xfId="4" applyFont="1" applyBorder="1" applyAlignment="1">
      <alignment horizontal="center" vertical="center" wrapText="1"/>
    </xf>
    <xf numFmtId="0" fontId="7" fillId="0" borderId="31" xfId="4" applyFont="1" applyBorder="1" applyAlignment="1">
      <alignment horizontal="center" vertical="center" wrapText="1"/>
    </xf>
    <xf numFmtId="166" fontId="7" fillId="0" borderId="31" xfId="2" applyNumberFormat="1" applyFont="1" applyFill="1" applyBorder="1" applyAlignment="1">
      <alignment horizontal="center" vertical="center" wrapText="1"/>
    </xf>
    <xf numFmtId="166" fontId="7" fillId="0" borderId="13" xfId="2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14" fontId="0" fillId="0" borderId="9" xfId="0" applyNumberFormat="1" applyBorder="1" applyAlignment="1">
      <alignment horizontal="center"/>
    </xf>
    <xf numFmtId="167" fontId="3" fillId="0" borderId="0" xfId="3" applyNumberFormat="1" applyFont="1" applyFill="1" applyBorder="1"/>
    <xf numFmtId="167" fontId="3" fillId="0" borderId="0" xfId="3" applyNumberFormat="1" applyFont="1" applyBorder="1" applyAlignment="1">
      <alignment horizontal="center"/>
    </xf>
    <xf numFmtId="167" fontId="3" fillId="0" borderId="0" xfId="3" applyNumberFormat="1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4" fontId="0" fillId="9" borderId="1" xfId="0" applyNumberFormat="1" applyFill="1" applyBorder="1" applyAlignment="1">
      <alignment horizontal="center"/>
    </xf>
    <xf numFmtId="167" fontId="3" fillId="9" borderId="1" xfId="3" applyNumberFormat="1" applyFont="1" applyFill="1" applyBorder="1"/>
    <xf numFmtId="167" fontId="0" fillId="9" borderId="1" xfId="0" applyNumberFormat="1" applyFill="1" applyBorder="1"/>
    <xf numFmtId="167" fontId="3" fillId="9" borderId="1" xfId="3" applyNumberFormat="1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textRotation="255" wrapText="1"/>
    </xf>
    <xf numFmtId="167" fontId="3" fillId="0" borderId="0" xfId="3" applyNumberFormat="1" applyFont="1" applyFill="1" applyBorder="1" applyAlignment="1">
      <alignment horizontal="center"/>
    </xf>
    <xf numFmtId="0" fontId="6" fillId="0" borderId="0" xfId="0" applyFont="1"/>
    <xf numFmtId="0" fontId="6" fillId="0" borderId="1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/>
    <xf numFmtId="14" fontId="6" fillId="0" borderId="9" xfId="0" applyNumberFormat="1" applyFont="1" applyBorder="1" applyAlignment="1">
      <alignment horizontal="center"/>
    </xf>
    <xf numFmtId="167" fontId="0" fillId="7" borderId="0" xfId="0" applyNumberFormat="1" applyFill="1"/>
    <xf numFmtId="167" fontId="6" fillId="0" borderId="1" xfId="3" applyNumberFormat="1" applyFont="1" applyFill="1" applyBorder="1"/>
    <xf numFmtId="0" fontId="6" fillId="2" borderId="0" xfId="0" applyFont="1" applyFill="1" applyAlignment="1">
      <alignment horizontal="center" vertical="center" textRotation="255" wrapText="1"/>
    </xf>
    <xf numFmtId="167" fontId="6" fillId="0" borderId="0" xfId="3" applyNumberFormat="1" applyFont="1" applyBorder="1"/>
    <xf numFmtId="0" fontId="0" fillId="0" borderId="37" xfId="0" applyBorder="1"/>
    <xf numFmtId="0" fontId="0" fillId="0" borderId="37" xfId="0" applyBorder="1" applyAlignment="1">
      <alignment horizontal="center"/>
    </xf>
    <xf numFmtId="167" fontId="17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7" fontId="6" fillId="3" borderId="1" xfId="3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textRotation="255" wrapText="1"/>
    </xf>
    <xf numFmtId="0" fontId="6" fillId="2" borderId="7" xfId="0" applyFont="1" applyFill="1" applyBorder="1" applyAlignment="1">
      <alignment horizontal="center" vertical="center" textRotation="255" wrapText="1"/>
    </xf>
    <xf numFmtId="0" fontId="6" fillId="2" borderId="20" xfId="0" applyFont="1" applyFill="1" applyBorder="1" applyAlignment="1">
      <alignment horizontal="center" vertical="center" textRotation="255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6" fillId="2" borderId="11" xfId="0" applyFont="1" applyFill="1" applyBorder="1" applyAlignment="1">
      <alignment horizontal="center" vertical="center" textRotation="255" wrapText="1"/>
    </xf>
    <xf numFmtId="0" fontId="15" fillId="7" borderId="1" xfId="0" applyFont="1" applyFill="1" applyBorder="1" applyAlignment="1">
      <alignment horizontal="center" vertical="center" textRotation="255" wrapText="1"/>
    </xf>
    <xf numFmtId="0" fontId="1" fillId="6" borderId="2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7" fontId="1" fillId="0" borderId="1" xfId="3" applyNumberFormat="1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0" borderId="1" xfId="3" applyNumberFormat="1" applyFont="1" applyBorder="1" applyAlignment="1">
      <alignment horizontal="center"/>
    </xf>
    <xf numFmtId="166" fontId="1" fillId="0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14" fontId="1" fillId="6" borderId="16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167" fontId="1" fillId="6" borderId="1" xfId="3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67" fontId="1" fillId="0" borderId="7" xfId="3" applyNumberFormat="1" applyFont="1" applyFill="1" applyBorder="1" applyAlignment="1">
      <alignment horizontal="center"/>
    </xf>
    <xf numFmtId="167" fontId="1" fillId="0" borderId="7" xfId="0" applyNumberFormat="1" applyFont="1" applyBorder="1" applyAlignment="1">
      <alignment horizontal="center"/>
    </xf>
    <xf numFmtId="167" fontId="1" fillId="0" borderId="7" xfId="3" applyNumberFormat="1" applyFont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167" fontId="1" fillId="0" borderId="0" xfId="3" applyNumberFormat="1" applyFont="1" applyFill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167" fontId="1" fillId="0" borderId="0" xfId="3" applyNumberFormat="1" applyFont="1" applyBorder="1" applyAlignment="1">
      <alignment horizontal="center"/>
    </xf>
    <xf numFmtId="167" fontId="1" fillId="6" borderId="1" xfId="0" applyNumberFormat="1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6" borderId="20" xfId="0" applyFont="1" applyFill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167" fontId="1" fillId="0" borderId="5" xfId="3" applyNumberFormat="1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6" borderId="11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/>
    </xf>
    <xf numFmtId="167" fontId="1" fillId="6" borderId="5" xfId="0" applyNumberFormat="1" applyFont="1" applyFill="1" applyBorder="1" applyAlignment="1">
      <alignment horizontal="center"/>
    </xf>
    <xf numFmtId="0" fontId="1" fillId="0" borderId="41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6" borderId="15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6" borderId="42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5">
    <cellStyle name="Millares" xfId="1" builtinId="3"/>
    <cellStyle name="Millares 2" xfId="2" xr:uid="{09E2EC03-A8D5-461B-8BBF-A4E15134A25F}"/>
    <cellStyle name="Moneda" xfId="3" builtinId="4"/>
    <cellStyle name="Normal" xfId="0" builtinId="0"/>
    <cellStyle name="Normal 2" xfId="4" xr:uid="{398D04FD-17A8-48BE-912B-3994CE1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112059</xdr:colOff>
      <xdr:row>90</xdr:row>
      <xdr:rowOff>44824</xdr:rowOff>
    </xdr:from>
    <xdr:to>
      <xdr:col>20</xdr:col>
      <xdr:colOff>649942</xdr:colOff>
      <xdr:row>90</xdr:row>
      <xdr:rowOff>44824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7C87CF6-030E-F920-ED55-07CC2BDDE7A3}"/>
            </a:ext>
          </a:extLst>
        </xdr:cNvPr>
        <xdr:cNvCxnSpPr/>
      </xdr:nvCxnSpPr>
      <xdr:spPr>
        <a:xfrm>
          <a:off x="20842941" y="18321618"/>
          <a:ext cx="537883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112059</xdr:colOff>
      <xdr:row>80</xdr:row>
      <xdr:rowOff>44824</xdr:rowOff>
    </xdr:from>
    <xdr:to>
      <xdr:col>20</xdr:col>
      <xdr:colOff>649942</xdr:colOff>
      <xdr:row>80</xdr:row>
      <xdr:rowOff>44824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87A6D96-13C1-51B2-61BE-5BCE2D93086A}"/>
            </a:ext>
          </a:extLst>
        </xdr:cNvPr>
        <xdr:cNvCxnSpPr/>
      </xdr:nvCxnSpPr>
      <xdr:spPr>
        <a:xfrm>
          <a:off x="23419734" y="18351874"/>
          <a:ext cx="537883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112059</xdr:colOff>
      <xdr:row>82</xdr:row>
      <xdr:rowOff>44824</xdr:rowOff>
    </xdr:from>
    <xdr:to>
      <xdr:col>20</xdr:col>
      <xdr:colOff>649942</xdr:colOff>
      <xdr:row>82</xdr:row>
      <xdr:rowOff>44824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DFC1715-3E81-358F-3221-CE6B5A8308A8}"/>
            </a:ext>
          </a:extLst>
        </xdr:cNvPr>
        <xdr:cNvCxnSpPr/>
      </xdr:nvCxnSpPr>
      <xdr:spPr>
        <a:xfrm>
          <a:off x="19781184" y="16361149"/>
          <a:ext cx="537883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2BBD-D4E0-46AF-9F41-C82D02C23BD0}">
  <dimension ref="A1:IS172"/>
  <sheetViews>
    <sheetView zoomScale="85" zoomScaleNormal="85" workbookViewId="0">
      <pane xSplit="4" ySplit="4" topLeftCell="E5" activePane="bottomRight" state="frozen"/>
      <selection pane="bottomRight" activeCell="B133" sqref="A127:IV141"/>
      <selection pane="bottomLeft" activeCell="A5" sqref="A5"/>
      <selection pane="topRight" activeCell="E1" sqref="E1"/>
    </sheetView>
  </sheetViews>
  <sheetFormatPr defaultColWidth="10.7109375" defaultRowHeight="14.45"/>
  <cols>
    <col min="2" max="2" width="11.42578125" style="1" customWidth="1"/>
    <col min="3" max="3" width="13.28515625" style="1" customWidth="1"/>
    <col min="4" max="4" width="33.28515625" customWidth="1"/>
    <col min="5" max="5" width="12.42578125" style="1" customWidth="1"/>
    <col min="6" max="6" width="77.5703125" customWidth="1"/>
    <col min="7" max="7" width="14.42578125" customWidth="1"/>
    <col min="8" max="9" width="12.85546875" customWidth="1"/>
    <col min="10" max="10" width="12.42578125" customWidth="1"/>
    <col min="11" max="11" width="12" bestFit="1" customWidth="1"/>
    <col min="12" max="12" width="13.42578125" customWidth="1"/>
    <col min="13" max="13" width="15.42578125" style="61" customWidth="1"/>
    <col min="14" max="14" width="16.28515625" customWidth="1"/>
    <col min="15" max="15" width="13.7109375" customWidth="1"/>
    <col min="16" max="16" width="13.42578125" customWidth="1"/>
    <col min="17" max="17" width="11.42578125" style="1" customWidth="1"/>
    <col min="18" max="18" width="15.5703125" style="2" bestFit="1" customWidth="1"/>
    <col min="19" max="19" width="13.85546875" customWidth="1"/>
    <col min="20" max="20" width="13.140625" style="1" customWidth="1"/>
    <col min="21" max="21" width="10.7109375" customWidth="1"/>
    <col min="22" max="22" width="29.140625" customWidth="1"/>
    <col min="23" max="23" width="21.7109375" customWidth="1"/>
    <col min="24" max="24" width="22.140625" customWidth="1"/>
    <col min="25" max="25" width="12.85546875" customWidth="1"/>
    <col min="26" max="26" width="12.140625" bestFit="1" customWidth="1"/>
    <col min="27" max="27" width="20" bestFit="1" customWidth="1"/>
    <col min="30" max="30" width="12.28515625" customWidth="1"/>
    <col min="31" max="31" width="19.5703125" customWidth="1"/>
    <col min="32" max="32" width="13.140625" bestFit="1" customWidth="1"/>
    <col min="33" max="33" width="12.140625" bestFit="1" customWidth="1"/>
  </cols>
  <sheetData>
    <row r="1" spans="1:253" ht="15" thickBot="1"/>
    <row r="2" spans="1:253" ht="21" customHeight="1" thickBot="1">
      <c r="B2" s="149" t="s">
        <v>0</v>
      </c>
      <c r="C2" s="150"/>
      <c r="D2" s="151"/>
      <c r="E2" s="79"/>
    </row>
    <row r="3" spans="1:253" ht="15" thickBot="1"/>
    <row r="4" spans="1:253" ht="33" customHeight="1"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18" t="s">
        <v>7</v>
      </c>
      <c r="I4" s="18" t="s">
        <v>8</v>
      </c>
      <c r="J4" s="19" t="s">
        <v>9</v>
      </c>
      <c r="K4" s="20" t="s">
        <v>10</v>
      </c>
      <c r="L4" s="20" t="s">
        <v>11</v>
      </c>
      <c r="M4" s="60" t="s">
        <v>12</v>
      </c>
      <c r="N4" s="20" t="s">
        <v>13</v>
      </c>
      <c r="O4" s="20" t="s">
        <v>14</v>
      </c>
      <c r="P4" s="21" t="s">
        <v>15</v>
      </c>
      <c r="Q4" s="20" t="s">
        <v>16</v>
      </c>
      <c r="R4" s="60" t="s">
        <v>17</v>
      </c>
      <c r="S4" s="22" t="s">
        <v>18</v>
      </c>
      <c r="T4" s="23" t="s">
        <v>19</v>
      </c>
      <c r="U4" s="24"/>
      <c r="V4" s="25"/>
      <c r="W4" s="26"/>
    </row>
    <row r="5" spans="1:253" s="32" customFormat="1" ht="15.75" customHeight="1">
      <c r="A5" s="153">
        <v>2022</v>
      </c>
      <c r="B5" s="36" t="s">
        <v>20</v>
      </c>
      <c r="C5" s="6" t="s">
        <v>21</v>
      </c>
      <c r="D5" s="28" t="s">
        <v>22</v>
      </c>
      <c r="E5" s="37">
        <v>44636</v>
      </c>
      <c r="F5" s="28" t="s">
        <v>23</v>
      </c>
      <c r="G5" s="45">
        <v>120000</v>
      </c>
      <c r="H5" s="45">
        <f t="shared" ref="H5:H13" si="0">G5*0.19</f>
        <v>22800</v>
      </c>
      <c r="I5" s="45">
        <f>G5+H5</f>
        <v>142800</v>
      </c>
      <c r="J5" s="45">
        <f>G5*0.025</f>
        <v>3000</v>
      </c>
      <c r="K5" s="45">
        <f t="shared" ref="K5:K13" si="1">G5*11.04/1000</f>
        <v>1324.8</v>
      </c>
      <c r="L5" s="45">
        <f>0.15*H5</f>
        <v>3420</v>
      </c>
      <c r="M5" s="45"/>
      <c r="N5" s="45">
        <f t="shared" ref="N5:N11" si="2">SUM(J5:M5)</f>
        <v>7744.8</v>
      </c>
      <c r="O5" s="45">
        <f t="shared" ref="O5:O13" si="3">I5-N5</f>
        <v>135055.20000000001</v>
      </c>
      <c r="P5" s="39">
        <v>44939</v>
      </c>
      <c r="Q5" s="38" t="s">
        <v>24</v>
      </c>
      <c r="R5" s="45">
        <v>135055</v>
      </c>
      <c r="S5" s="45">
        <f>+O5-R5</f>
        <v>0.20000000001164153</v>
      </c>
      <c r="T5" s="40" t="s">
        <v>25</v>
      </c>
      <c r="U5" s="56"/>
      <c r="V5" s="29"/>
      <c r="W5" s="134" t="s">
        <v>26</v>
      </c>
      <c r="X5" s="135"/>
      <c r="Y5" s="30"/>
      <c r="Z5" s="30"/>
      <c r="AA5" s="30"/>
      <c r="AB5" s="30"/>
      <c r="AC5" s="30"/>
      <c r="AD5" s="30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</row>
    <row r="6" spans="1:253" s="30" customFormat="1" ht="15.75" customHeight="1">
      <c r="A6" s="153"/>
      <c r="B6" s="133" t="s">
        <v>27</v>
      </c>
      <c r="C6" s="6" t="s">
        <v>21</v>
      </c>
      <c r="D6" s="41" t="s">
        <v>22</v>
      </c>
      <c r="E6" s="42">
        <v>44882</v>
      </c>
      <c r="F6" s="33" t="s">
        <v>28</v>
      </c>
      <c r="G6" s="46">
        <v>2600000</v>
      </c>
      <c r="H6" s="46">
        <f t="shared" si="0"/>
        <v>494000</v>
      </c>
      <c r="I6" s="46">
        <f t="shared" ref="I6:I13" si="4">H6+G6</f>
        <v>3094000</v>
      </c>
      <c r="J6" s="45">
        <f>G6*0.04</f>
        <v>104000</v>
      </c>
      <c r="K6" s="50">
        <f t="shared" si="1"/>
        <v>28703.999999999996</v>
      </c>
      <c r="L6" s="45">
        <f>0.15*H6</f>
        <v>74100</v>
      </c>
      <c r="M6" s="52"/>
      <c r="N6" s="52">
        <f t="shared" si="2"/>
        <v>206804</v>
      </c>
      <c r="O6" s="52">
        <f t="shared" si="3"/>
        <v>2887196</v>
      </c>
      <c r="P6" s="39">
        <v>44936</v>
      </c>
      <c r="Q6" s="43" t="s">
        <v>24</v>
      </c>
      <c r="R6" s="46">
        <v>2887196</v>
      </c>
      <c r="S6" s="45">
        <f t="shared" ref="S6:S13" si="5">+O6-R6</f>
        <v>0</v>
      </c>
      <c r="T6" s="133" t="s">
        <v>25</v>
      </c>
      <c r="V6" s="34"/>
      <c r="W6" s="136" t="s">
        <v>29</v>
      </c>
      <c r="X6" s="137"/>
    </row>
    <row r="7" spans="1:253" s="30" customFormat="1" ht="15.75" customHeight="1" thickBot="1">
      <c r="A7" s="153"/>
      <c r="B7" s="36" t="s">
        <v>30</v>
      </c>
      <c r="C7" s="6" t="s">
        <v>31</v>
      </c>
      <c r="D7" s="41" t="s">
        <v>22</v>
      </c>
      <c r="E7" s="42">
        <v>44889</v>
      </c>
      <c r="F7" s="33" t="s">
        <v>32</v>
      </c>
      <c r="G7" s="46">
        <v>1590000</v>
      </c>
      <c r="H7" s="46">
        <f t="shared" si="0"/>
        <v>302100</v>
      </c>
      <c r="I7" s="46">
        <f t="shared" si="4"/>
        <v>1892100</v>
      </c>
      <c r="J7" s="45">
        <f>G7*0.025</f>
        <v>39750</v>
      </c>
      <c r="K7" s="50">
        <f t="shared" si="1"/>
        <v>17553.599999999999</v>
      </c>
      <c r="L7" s="45">
        <f t="shared" ref="L7:L13" si="6">0.15*H7</f>
        <v>45315</v>
      </c>
      <c r="M7" s="52"/>
      <c r="N7" s="52">
        <f t="shared" si="2"/>
        <v>102618.6</v>
      </c>
      <c r="O7" s="46">
        <f t="shared" si="3"/>
        <v>1789481.4</v>
      </c>
      <c r="P7" s="39">
        <v>44939</v>
      </c>
      <c r="Q7" s="43" t="s">
        <v>24</v>
      </c>
      <c r="R7" s="46">
        <v>1789481</v>
      </c>
      <c r="S7" s="45">
        <f t="shared" si="5"/>
        <v>0.39999999990686774</v>
      </c>
      <c r="T7" s="133" t="s">
        <v>25</v>
      </c>
      <c r="U7" s="54"/>
      <c r="V7" s="35"/>
      <c r="W7" s="138" t="s">
        <v>33</v>
      </c>
      <c r="X7" s="139"/>
    </row>
    <row r="8" spans="1:253" s="30" customFormat="1" ht="15.75" customHeight="1">
      <c r="A8" s="153"/>
      <c r="B8" s="133" t="s">
        <v>34</v>
      </c>
      <c r="C8" s="6" t="s">
        <v>21</v>
      </c>
      <c r="D8" s="41" t="s">
        <v>22</v>
      </c>
      <c r="E8" s="42">
        <v>44890</v>
      </c>
      <c r="F8" s="41" t="s">
        <v>35</v>
      </c>
      <c r="G8" s="46">
        <v>1700000</v>
      </c>
      <c r="H8" s="46">
        <f t="shared" si="0"/>
        <v>323000</v>
      </c>
      <c r="I8" s="46">
        <f t="shared" si="4"/>
        <v>2023000</v>
      </c>
      <c r="J8" s="45">
        <f>G8*0.025</f>
        <v>42500</v>
      </c>
      <c r="K8" s="50">
        <f t="shared" si="1"/>
        <v>18768</v>
      </c>
      <c r="L8" s="45">
        <f t="shared" si="6"/>
        <v>48450</v>
      </c>
      <c r="M8" s="52"/>
      <c r="N8" s="52">
        <f t="shared" si="2"/>
        <v>109718</v>
      </c>
      <c r="O8" s="52">
        <f t="shared" si="3"/>
        <v>1913282</v>
      </c>
      <c r="P8" s="39">
        <v>44946</v>
      </c>
      <c r="Q8" s="43" t="s">
        <v>24</v>
      </c>
      <c r="R8" s="46">
        <v>1913282</v>
      </c>
      <c r="S8" s="45">
        <f t="shared" si="5"/>
        <v>0</v>
      </c>
      <c r="T8" s="133" t="s">
        <v>25</v>
      </c>
      <c r="U8" s="55"/>
    </row>
    <row r="9" spans="1:253" s="30" customFormat="1" ht="15.75" customHeight="1">
      <c r="A9" s="153"/>
      <c r="B9" s="133" t="s">
        <v>36</v>
      </c>
      <c r="C9" s="6" t="s">
        <v>21</v>
      </c>
      <c r="D9" s="41" t="s">
        <v>22</v>
      </c>
      <c r="E9" s="42">
        <v>44917</v>
      </c>
      <c r="F9" s="41" t="s">
        <v>37</v>
      </c>
      <c r="G9" s="46">
        <v>660000</v>
      </c>
      <c r="H9" s="46">
        <f>G9*0.19</f>
        <v>125400</v>
      </c>
      <c r="I9" s="46">
        <f>H9+G9</f>
        <v>785400</v>
      </c>
      <c r="J9" s="45">
        <f>G9*0.025</f>
        <v>16500</v>
      </c>
      <c r="K9" s="50">
        <f>G9*11.04/1000</f>
        <v>7286.3999999999987</v>
      </c>
      <c r="L9" s="45">
        <f t="shared" si="6"/>
        <v>18810</v>
      </c>
      <c r="M9" s="52"/>
      <c r="N9" s="52">
        <f>SUM(J9:M9)</f>
        <v>42596.399999999994</v>
      </c>
      <c r="O9" s="52">
        <f>I9-N9</f>
        <v>742803.6</v>
      </c>
      <c r="P9" s="39">
        <v>44992</v>
      </c>
      <c r="Q9" s="43" t="s">
        <v>24</v>
      </c>
      <c r="R9" s="46">
        <v>742804</v>
      </c>
      <c r="S9" s="45">
        <f>+O9-R9</f>
        <v>-0.40000000002328306</v>
      </c>
      <c r="T9" s="133" t="s">
        <v>25</v>
      </c>
      <c r="U9" s="55"/>
    </row>
    <row r="10" spans="1:253" s="31" customFormat="1" ht="15.75" customHeight="1">
      <c r="A10" s="153"/>
      <c r="B10" s="36" t="s">
        <v>38</v>
      </c>
      <c r="C10" s="6" t="s">
        <v>21</v>
      </c>
      <c r="D10" s="41" t="s">
        <v>22</v>
      </c>
      <c r="E10" s="42">
        <v>44917</v>
      </c>
      <c r="F10" t="s">
        <v>39</v>
      </c>
      <c r="G10" s="47">
        <v>350000</v>
      </c>
      <c r="H10" s="47">
        <f>G10*0.19</f>
        <v>66500</v>
      </c>
      <c r="I10" s="47">
        <f>H10+G10</f>
        <v>416500</v>
      </c>
      <c r="J10" s="48">
        <f>G10*0.04</f>
        <v>14000</v>
      </c>
      <c r="K10" s="50">
        <f>G10*11.04/1000</f>
        <v>3863.9999999999995</v>
      </c>
      <c r="L10" s="48">
        <f t="shared" si="6"/>
        <v>9975</v>
      </c>
      <c r="M10" s="47"/>
      <c r="N10" s="47">
        <f>SUM(J10:M10)</f>
        <v>27839</v>
      </c>
      <c r="O10" s="52">
        <f>I10-N10</f>
        <v>388661</v>
      </c>
      <c r="P10" s="39">
        <v>44967</v>
      </c>
      <c r="Q10" s="43" t="s">
        <v>24</v>
      </c>
      <c r="R10" s="46">
        <v>388661</v>
      </c>
      <c r="S10" s="45">
        <f>+O10-R10</f>
        <v>0</v>
      </c>
      <c r="T10" s="40" t="s">
        <v>25</v>
      </c>
      <c r="U10" s="53"/>
      <c r="V10" s="30"/>
      <c r="W10" s="30"/>
      <c r="X10" s="30"/>
      <c r="Y10" s="30"/>
      <c r="Z10" s="30"/>
      <c r="AA10" s="30"/>
      <c r="AB10" s="30"/>
      <c r="AC10" s="30"/>
      <c r="AD10" s="30"/>
    </row>
    <row r="11" spans="1:253" s="31" customFormat="1" ht="15.75" customHeight="1">
      <c r="A11" s="153"/>
      <c r="B11" s="36" t="s">
        <v>40</v>
      </c>
      <c r="C11" s="6" t="s">
        <v>21</v>
      </c>
      <c r="D11" s="41" t="s">
        <v>22</v>
      </c>
      <c r="E11" s="42">
        <v>44917</v>
      </c>
      <c r="F11" s="33" t="s">
        <v>41</v>
      </c>
      <c r="G11" s="47">
        <v>160000</v>
      </c>
      <c r="H11" s="47">
        <f>G11*0.19</f>
        <v>30400</v>
      </c>
      <c r="I11" s="47">
        <f>H11+G11</f>
        <v>190400</v>
      </c>
      <c r="J11" s="48">
        <f>G11*0.04</f>
        <v>6400</v>
      </c>
      <c r="K11" s="50">
        <f t="shared" si="1"/>
        <v>1766.3999999999999</v>
      </c>
      <c r="L11" s="48">
        <f t="shared" si="6"/>
        <v>4560</v>
      </c>
      <c r="M11" s="47"/>
      <c r="N11" s="47">
        <f t="shared" si="2"/>
        <v>12726.4</v>
      </c>
      <c r="O11" s="52">
        <f t="shared" si="3"/>
        <v>177673.60000000001</v>
      </c>
      <c r="P11" s="39">
        <v>44939</v>
      </c>
      <c r="Q11" s="43" t="s">
        <v>24</v>
      </c>
      <c r="R11" s="46">
        <v>177674</v>
      </c>
      <c r="S11" s="45">
        <f t="shared" si="5"/>
        <v>-0.39999999999417923</v>
      </c>
      <c r="T11" s="40" t="s">
        <v>25</v>
      </c>
      <c r="U11" s="53"/>
      <c r="V11" s="30"/>
      <c r="W11" s="30"/>
      <c r="X11" s="30"/>
      <c r="Y11" s="30"/>
      <c r="Z11" s="30"/>
      <c r="AA11" s="30"/>
      <c r="AB11" s="30"/>
      <c r="AC11" s="30"/>
      <c r="AD11" s="30"/>
    </row>
    <row r="12" spans="1:253" s="31" customFormat="1" ht="15.75" customHeight="1">
      <c r="A12" s="153"/>
      <c r="B12" s="32" t="s">
        <v>42</v>
      </c>
      <c r="C12" s="6" t="s">
        <v>21</v>
      </c>
      <c r="D12" s="41" t="s">
        <v>22</v>
      </c>
      <c r="E12" s="42">
        <v>44917</v>
      </c>
      <c r="F12" s="33" t="s">
        <v>43</v>
      </c>
      <c r="G12" s="47">
        <v>1070000</v>
      </c>
      <c r="H12" s="47">
        <f t="shared" si="0"/>
        <v>203300</v>
      </c>
      <c r="I12" s="47">
        <f t="shared" si="4"/>
        <v>1273300</v>
      </c>
      <c r="J12" s="45">
        <f>G12*0.025</f>
        <v>26750</v>
      </c>
      <c r="K12" s="50">
        <f t="shared" si="1"/>
        <v>11812.8</v>
      </c>
      <c r="L12" s="45">
        <f t="shared" si="6"/>
        <v>30495</v>
      </c>
      <c r="M12" s="47"/>
      <c r="N12" s="47">
        <f>+J12+K12+L12</f>
        <v>69057.8</v>
      </c>
      <c r="O12" s="52">
        <f t="shared" si="3"/>
        <v>1204242.2</v>
      </c>
      <c r="P12" s="39">
        <v>44953</v>
      </c>
      <c r="Q12" s="43" t="s">
        <v>24</v>
      </c>
      <c r="R12" s="46">
        <v>1204242</v>
      </c>
      <c r="S12" s="45">
        <f t="shared" si="5"/>
        <v>0.19999999995343387</v>
      </c>
      <c r="T12" s="40" t="s">
        <v>25</v>
      </c>
      <c r="V12" s="30"/>
      <c r="W12" s="30"/>
      <c r="X12" s="30"/>
      <c r="Y12" s="30"/>
      <c r="Z12" s="30"/>
      <c r="AA12" s="30"/>
      <c r="AB12" s="30"/>
      <c r="AC12" s="30"/>
      <c r="AD12" s="30"/>
    </row>
    <row r="13" spans="1:253" s="31" customFormat="1" ht="15.75" customHeight="1">
      <c r="A13" s="153"/>
      <c r="B13" s="36" t="s">
        <v>44</v>
      </c>
      <c r="C13" s="6" t="s">
        <v>21</v>
      </c>
      <c r="D13" s="41" t="s">
        <v>22</v>
      </c>
      <c r="E13" s="44">
        <v>44917</v>
      </c>
      <c r="F13" s="41" t="s">
        <v>45</v>
      </c>
      <c r="G13" s="48">
        <v>840000</v>
      </c>
      <c r="H13" s="48">
        <f t="shared" si="0"/>
        <v>159600</v>
      </c>
      <c r="I13" s="48">
        <f t="shared" si="4"/>
        <v>999600</v>
      </c>
      <c r="J13" s="48">
        <f>G13*0.025</f>
        <v>21000</v>
      </c>
      <c r="K13" s="51">
        <f t="shared" si="1"/>
        <v>9273.6</v>
      </c>
      <c r="L13" s="48">
        <f t="shared" si="6"/>
        <v>23940</v>
      </c>
      <c r="M13" s="48"/>
      <c r="N13" s="48">
        <f>+J13+K13+L13</f>
        <v>54213.599999999999</v>
      </c>
      <c r="O13" s="45">
        <f t="shared" si="3"/>
        <v>945386.4</v>
      </c>
      <c r="P13" s="39">
        <v>44953</v>
      </c>
      <c r="Q13" s="40" t="s">
        <v>24</v>
      </c>
      <c r="R13" s="51">
        <v>945386</v>
      </c>
      <c r="S13" s="45">
        <f t="shared" si="5"/>
        <v>0.40000000002328306</v>
      </c>
      <c r="T13" s="40" t="s">
        <v>25</v>
      </c>
      <c r="U13" s="53"/>
      <c r="V13" s="30"/>
      <c r="W13" s="30"/>
      <c r="X13" s="30"/>
      <c r="Y13" s="30"/>
      <c r="Z13" s="30"/>
      <c r="AA13" s="30"/>
      <c r="AB13" s="30"/>
      <c r="AC13" s="30"/>
      <c r="AD13" s="30"/>
    </row>
    <row r="14" spans="1:253" ht="15" customHeight="1">
      <c r="A14" s="153"/>
      <c r="B14" s="6" t="s">
        <v>46</v>
      </c>
      <c r="C14" s="6" t="s">
        <v>21</v>
      </c>
      <c r="D14" s="7" t="s">
        <v>47</v>
      </c>
      <c r="E14" s="44">
        <v>44917</v>
      </c>
      <c r="F14" s="7" t="s">
        <v>48</v>
      </c>
      <c r="G14" s="9">
        <v>310000</v>
      </c>
      <c r="H14" s="9">
        <f>G14*0.19</f>
        <v>58900</v>
      </c>
      <c r="I14" s="9">
        <f>G14+H14</f>
        <v>368900</v>
      </c>
      <c r="J14" s="9">
        <f>G14*0.04</f>
        <v>12400</v>
      </c>
      <c r="K14" s="49">
        <f>G14*11.04/1000</f>
        <v>3422.3999999999996</v>
      </c>
      <c r="L14" s="9">
        <f>H14*0.15</f>
        <v>8835</v>
      </c>
      <c r="M14" s="58">
        <v>0</v>
      </c>
      <c r="N14" s="9">
        <f>SUM(J14:M14)</f>
        <v>24657.4</v>
      </c>
      <c r="O14" s="9">
        <f>+I14-N14</f>
        <v>344242.6</v>
      </c>
      <c r="P14" s="39">
        <v>44967</v>
      </c>
      <c r="Q14" s="40" t="s">
        <v>24</v>
      </c>
      <c r="R14" s="9">
        <v>344243</v>
      </c>
      <c r="S14" s="9">
        <f>+O14-R14</f>
        <v>-0.40000000002328306</v>
      </c>
      <c r="T14" s="6" t="s">
        <v>25</v>
      </c>
    </row>
    <row r="16" spans="1:253" ht="15" customHeight="1">
      <c r="A16" s="118"/>
      <c r="E16" s="5"/>
      <c r="G16" s="105"/>
      <c r="H16" s="105"/>
      <c r="I16" s="105"/>
      <c r="J16" s="105"/>
      <c r="K16" s="105"/>
      <c r="L16" s="105"/>
      <c r="M16" s="119"/>
      <c r="N16" s="105"/>
      <c r="O16" s="105"/>
      <c r="P16" s="110"/>
      <c r="Q16" s="117"/>
      <c r="R16" s="105"/>
      <c r="S16" s="3"/>
    </row>
    <row r="17" spans="1:21" ht="15" customHeight="1">
      <c r="A17" s="143" t="s">
        <v>49</v>
      </c>
      <c r="B17" s="6" t="s">
        <v>50</v>
      </c>
      <c r="C17" s="6" t="s">
        <v>21</v>
      </c>
      <c r="D17" s="7" t="s">
        <v>47</v>
      </c>
      <c r="E17" s="27">
        <v>44936</v>
      </c>
      <c r="F17" s="7" t="s">
        <v>51</v>
      </c>
      <c r="G17" s="9">
        <v>1400000</v>
      </c>
      <c r="H17" s="9">
        <f>G17*0.19</f>
        <v>266000</v>
      </c>
      <c r="I17" s="9">
        <f>G17+H17</f>
        <v>1666000</v>
      </c>
      <c r="J17" s="9">
        <f>G17*0.04</f>
        <v>56000</v>
      </c>
      <c r="K17" s="49">
        <f>G17*11.04/1000</f>
        <v>15455.999999999998</v>
      </c>
      <c r="L17" s="9">
        <f>H17*0.15</f>
        <v>39900</v>
      </c>
      <c r="M17" s="58">
        <v>0</v>
      </c>
      <c r="N17" s="9">
        <f>SUM(J17:M17)</f>
        <v>111356</v>
      </c>
      <c r="O17" s="9">
        <f>+I17-N17</f>
        <v>1554644</v>
      </c>
      <c r="P17" s="57">
        <v>44988</v>
      </c>
      <c r="Q17" s="40" t="s">
        <v>24</v>
      </c>
      <c r="R17" s="9">
        <v>1554644</v>
      </c>
      <c r="S17" s="10">
        <f>+O17-R17</f>
        <v>0</v>
      </c>
      <c r="T17" s="6" t="s">
        <v>25</v>
      </c>
    </row>
    <row r="18" spans="1:21" ht="15.75" customHeight="1">
      <c r="A18" s="143"/>
      <c r="B18" s="6" t="s">
        <v>52</v>
      </c>
      <c r="C18" s="6" t="s">
        <v>21</v>
      </c>
      <c r="D18" s="7" t="s">
        <v>47</v>
      </c>
      <c r="E18" s="8">
        <v>44949</v>
      </c>
      <c r="F18" s="7" t="s">
        <v>53</v>
      </c>
      <c r="G18" s="9">
        <v>1520000</v>
      </c>
      <c r="H18" s="10">
        <f t="shared" ref="H18:H26" si="7">G18*0.19</f>
        <v>288800</v>
      </c>
      <c r="I18" s="10">
        <f t="shared" ref="I18:I26" si="8">G18+H18</f>
        <v>1808800</v>
      </c>
      <c r="J18" s="10">
        <f>G18*0.025</f>
        <v>38000</v>
      </c>
      <c r="K18" s="10">
        <f t="shared" ref="K18:K26" si="9">G18*11.04/1000</f>
        <v>16780.8</v>
      </c>
      <c r="L18" s="10">
        <f t="shared" ref="L18:L26" si="10">H18*0.15</f>
        <v>43320</v>
      </c>
      <c r="M18" s="58">
        <v>0</v>
      </c>
      <c r="N18" s="10">
        <f t="shared" ref="N18:N26" si="11">SUM(J18:M18)</f>
        <v>98100.800000000003</v>
      </c>
      <c r="O18" s="10">
        <f t="shared" ref="O18:O26" si="12">+I18-N18</f>
        <v>1710699.2</v>
      </c>
      <c r="P18" s="57">
        <v>45002</v>
      </c>
      <c r="Q18" s="40" t="s">
        <v>24</v>
      </c>
      <c r="R18" s="9">
        <v>1710699</v>
      </c>
      <c r="S18" s="10">
        <f t="shared" ref="S18:S26" si="13">+O18-R18</f>
        <v>0.19999999995343387</v>
      </c>
      <c r="T18" s="6" t="s">
        <v>25</v>
      </c>
    </row>
    <row r="19" spans="1:21" ht="15.75" customHeight="1">
      <c r="A19" s="143"/>
      <c r="B19" s="6" t="s">
        <v>54</v>
      </c>
      <c r="C19" s="6" t="s">
        <v>21</v>
      </c>
      <c r="D19" s="7" t="s">
        <v>47</v>
      </c>
      <c r="E19" s="8">
        <v>44949</v>
      </c>
      <c r="F19" s="7" t="s">
        <v>55</v>
      </c>
      <c r="G19" s="9">
        <v>900000</v>
      </c>
      <c r="H19" s="10">
        <f t="shared" si="7"/>
        <v>171000</v>
      </c>
      <c r="I19" s="10">
        <f t="shared" si="8"/>
        <v>1071000</v>
      </c>
      <c r="J19" s="10">
        <f>G19*0.025</f>
        <v>22500</v>
      </c>
      <c r="K19" s="10">
        <f t="shared" si="9"/>
        <v>9936</v>
      </c>
      <c r="L19" s="10">
        <f t="shared" si="10"/>
        <v>25650</v>
      </c>
      <c r="M19" s="58">
        <v>16838</v>
      </c>
      <c r="N19" s="10">
        <f t="shared" si="11"/>
        <v>74924</v>
      </c>
      <c r="O19" s="10">
        <f t="shared" si="12"/>
        <v>996076</v>
      </c>
      <c r="P19" s="57">
        <v>44988</v>
      </c>
      <c r="Q19" s="40" t="s">
        <v>24</v>
      </c>
      <c r="R19" s="9">
        <v>996076</v>
      </c>
      <c r="S19" s="10">
        <f t="shared" si="13"/>
        <v>0</v>
      </c>
      <c r="T19" s="6" t="s">
        <v>25</v>
      </c>
    </row>
    <row r="20" spans="1:21" ht="15.75" customHeight="1">
      <c r="A20" s="143"/>
      <c r="B20" s="111" t="s">
        <v>56</v>
      </c>
      <c r="C20" s="111" t="s">
        <v>21</v>
      </c>
      <c r="D20" s="112" t="s">
        <v>47</v>
      </c>
      <c r="E20" s="113">
        <v>44949</v>
      </c>
      <c r="F20" s="112" t="s">
        <v>57</v>
      </c>
      <c r="G20" s="114">
        <v>1070000</v>
      </c>
      <c r="H20" s="115">
        <f t="shared" si="7"/>
        <v>203300</v>
      </c>
      <c r="I20" s="115">
        <f t="shared" si="8"/>
        <v>1273300</v>
      </c>
      <c r="J20" s="115"/>
      <c r="K20" s="115"/>
      <c r="L20" s="115"/>
      <c r="M20" s="116">
        <v>0</v>
      </c>
      <c r="N20" s="115">
        <f t="shared" si="11"/>
        <v>0</v>
      </c>
      <c r="O20" s="115">
        <f t="shared" si="12"/>
        <v>1273300</v>
      </c>
      <c r="P20" s="112"/>
      <c r="Q20" s="111"/>
      <c r="R20" s="114"/>
      <c r="S20" s="115">
        <f t="shared" si="13"/>
        <v>1273300</v>
      </c>
      <c r="T20" s="111" t="s">
        <v>58</v>
      </c>
      <c r="U20" s="3"/>
    </row>
    <row r="21" spans="1:21" ht="15.75" customHeight="1">
      <c r="A21" s="143"/>
      <c r="B21" s="111" t="s">
        <v>59</v>
      </c>
      <c r="C21" s="111" t="s">
        <v>21</v>
      </c>
      <c r="D21" s="112" t="s">
        <v>47</v>
      </c>
      <c r="E21" s="113">
        <v>44949</v>
      </c>
      <c r="F21" s="112" t="s">
        <v>60</v>
      </c>
      <c r="G21" s="114">
        <v>840000</v>
      </c>
      <c r="H21" s="115">
        <f t="shared" si="7"/>
        <v>159600</v>
      </c>
      <c r="I21" s="115">
        <f t="shared" si="8"/>
        <v>999600</v>
      </c>
      <c r="J21" s="115"/>
      <c r="K21" s="115"/>
      <c r="L21" s="115"/>
      <c r="M21" s="116">
        <v>0</v>
      </c>
      <c r="N21" s="115">
        <f t="shared" si="11"/>
        <v>0</v>
      </c>
      <c r="O21" s="115">
        <f t="shared" si="12"/>
        <v>999600</v>
      </c>
      <c r="P21" s="112"/>
      <c r="Q21" s="111"/>
      <c r="R21" s="114"/>
      <c r="S21" s="115">
        <f t="shared" si="13"/>
        <v>999600</v>
      </c>
      <c r="T21" s="111" t="s">
        <v>58</v>
      </c>
    </row>
    <row r="22" spans="1:21" ht="15.75" customHeight="1">
      <c r="A22" s="143"/>
      <c r="B22" s="6" t="s">
        <v>61</v>
      </c>
      <c r="C22" s="6" t="s">
        <v>21</v>
      </c>
      <c r="D22" s="7" t="s">
        <v>47</v>
      </c>
      <c r="E22" s="8">
        <v>44949</v>
      </c>
      <c r="F22" s="7" t="s">
        <v>62</v>
      </c>
      <c r="G22" s="9">
        <v>380000</v>
      </c>
      <c r="H22" s="10">
        <f t="shared" si="7"/>
        <v>72200</v>
      </c>
      <c r="I22" s="10">
        <f t="shared" si="8"/>
        <v>452200</v>
      </c>
      <c r="J22" s="10">
        <f>G22*0.04</f>
        <v>15200</v>
      </c>
      <c r="K22" s="10">
        <f t="shared" si="9"/>
        <v>4195.2</v>
      </c>
      <c r="L22" s="10">
        <f t="shared" si="10"/>
        <v>10830</v>
      </c>
      <c r="M22" s="58">
        <v>0</v>
      </c>
      <c r="N22" s="10">
        <f t="shared" si="11"/>
        <v>30225.200000000001</v>
      </c>
      <c r="O22" s="10">
        <f t="shared" si="12"/>
        <v>421974.8</v>
      </c>
      <c r="P22" s="57">
        <v>45002</v>
      </c>
      <c r="Q22" s="40" t="s">
        <v>24</v>
      </c>
      <c r="R22" s="9">
        <v>421975</v>
      </c>
      <c r="S22" s="10">
        <f t="shared" si="13"/>
        <v>-0.20000000001164153</v>
      </c>
      <c r="T22" s="6" t="s">
        <v>25</v>
      </c>
    </row>
    <row r="23" spans="1:21" ht="15.75" customHeight="1">
      <c r="A23" s="143"/>
      <c r="B23" s="6" t="s">
        <v>63</v>
      </c>
      <c r="C23" s="6" t="s">
        <v>21</v>
      </c>
      <c r="D23" s="7" t="s">
        <v>47</v>
      </c>
      <c r="E23" s="8">
        <v>44953</v>
      </c>
      <c r="F23" s="7" t="s">
        <v>64</v>
      </c>
      <c r="G23" s="9">
        <v>680000</v>
      </c>
      <c r="H23" s="10">
        <f t="shared" si="7"/>
        <v>129200</v>
      </c>
      <c r="I23" s="10">
        <f t="shared" si="8"/>
        <v>809200</v>
      </c>
      <c r="J23" s="10">
        <f>G23*0.04</f>
        <v>27200</v>
      </c>
      <c r="K23" s="10">
        <f t="shared" si="9"/>
        <v>7507.1999999999989</v>
      </c>
      <c r="L23" s="10">
        <f t="shared" si="10"/>
        <v>19380</v>
      </c>
      <c r="M23" s="58">
        <v>0</v>
      </c>
      <c r="N23" s="10">
        <f t="shared" si="11"/>
        <v>54087.199999999997</v>
      </c>
      <c r="O23" s="10">
        <f t="shared" si="12"/>
        <v>755112.8</v>
      </c>
      <c r="P23" s="57">
        <v>45009</v>
      </c>
      <c r="Q23" s="40" t="s">
        <v>24</v>
      </c>
      <c r="R23" s="9">
        <v>755113</v>
      </c>
      <c r="S23" s="10">
        <f t="shared" si="13"/>
        <v>-0.19999999995343387</v>
      </c>
      <c r="T23" s="6" t="s">
        <v>25</v>
      </c>
    </row>
    <row r="24" spans="1:21" ht="15.75" customHeight="1">
      <c r="A24" s="143"/>
      <c r="B24" s="6" t="s">
        <v>65</v>
      </c>
      <c r="C24" s="6" t="s">
        <v>21</v>
      </c>
      <c r="D24" s="7" t="s">
        <v>47</v>
      </c>
      <c r="E24" s="8">
        <v>44953</v>
      </c>
      <c r="F24" s="7" t="s">
        <v>66</v>
      </c>
      <c r="G24" s="9">
        <v>8400000</v>
      </c>
      <c r="H24" s="10">
        <f t="shared" si="7"/>
        <v>1596000</v>
      </c>
      <c r="I24" s="10">
        <f t="shared" si="8"/>
        <v>9996000</v>
      </c>
      <c r="J24" s="10">
        <f>G24*0.04</f>
        <v>336000</v>
      </c>
      <c r="K24" s="10">
        <f t="shared" si="9"/>
        <v>92736</v>
      </c>
      <c r="L24" s="10">
        <f t="shared" si="10"/>
        <v>239400</v>
      </c>
      <c r="M24" s="58">
        <v>0</v>
      </c>
      <c r="N24" s="10">
        <f t="shared" si="11"/>
        <v>668136</v>
      </c>
      <c r="O24" s="10">
        <f t="shared" si="12"/>
        <v>9327864</v>
      </c>
      <c r="P24" s="57">
        <v>45026</v>
      </c>
      <c r="Q24" s="40" t="s">
        <v>24</v>
      </c>
      <c r="R24" s="9">
        <v>9327864</v>
      </c>
      <c r="S24" s="10">
        <f t="shared" si="13"/>
        <v>0</v>
      </c>
      <c r="T24" s="6" t="s">
        <v>25</v>
      </c>
    </row>
    <row r="25" spans="1:21">
      <c r="A25" s="143"/>
      <c r="B25" s="6" t="s">
        <v>67</v>
      </c>
      <c r="C25" s="6" t="s">
        <v>21</v>
      </c>
      <c r="D25" s="7" t="s">
        <v>47</v>
      </c>
      <c r="E25" s="8">
        <v>44953</v>
      </c>
      <c r="F25" s="7" t="s">
        <v>60</v>
      </c>
      <c r="G25" s="9">
        <v>420000</v>
      </c>
      <c r="H25" s="10">
        <f t="shared" si="7"/>
        <v>79800</v>
      </c>
      <c r="I25" s="10">
        <f t="shared" si="8"/>
        <v>499800</v>
      </c>
      <c r="J25" s="10">
        <f>G25*0.025</f>
        <v>10500</v>
      </c>
      <c r="K25" s="10">
        <f t="shared" si="9"/>
        <v>4636.8</v>
      </c>
      <c r="L25" s="10">
        <f t="shared" si="10"/>
        <v>11970</v>
      </c>
      <c r="M25" s="58">
        <v>0</v>
      </c>
      <c r="N25" s="10">
        <f t="shared" si="11"/>
        <v>27106.799999999999</v>
      </c>
      <c r="O25" s="10">
        <f t="shared" si="12"/>
        <v>472693.2</v>
      </c>
      <c r="P25" s="57">
        <v>45009</v>
      </c>
      <c r="Q25" s="40" t="s">
        <v>24</v>
      </c>
      <c r="R25" s="9">
        <v>472693</v>
      </c>
      <c r="S25" s="10">
        <f t="shared" si="13"/>
        <v>0.20000000001164153</v>
      </c>
      <c r="T25" s="6" t="s">
        <v>25</v>
      </c>
    </row>
    <row r="26" spans="1:21">
      <c r="A26" s="143"/>
      <c r="B26" s="6" t="s">
        <v>68</v>
      </c>
      <c r="C26" s="6" t="s">
        <v>21</v>
      </c>
      <c r="D26" s="7" t="s">
        <v>47</v>
      </c>
      <c r="E26" s="8">
        <v>44956</v>
      </c>
      <c r="F26" s="7" t="s">
        <v>69</v>
      </c>
      <c r="G26" s="9">
        <v>1160000</v>
      </c>
      <c r="H26" s="10">
        <f t="shared" si="7"/>
        <v>220400</v>
      </c>
      <c r="I26" s="10">
        <f t="shared" si="8"/>
        <v>1380400</v>
      </c>
      <c r="J26" s="10">
        <f>G26*0.025</f>
        <v>29000</v>
      </c>
      <c r="K26" s="10">
        <f t="shared" si="9"/>
        <v>12806.399999999998</v>
      </c>
      <c r="L26" s="10">
        <f t="shared" si="10"/>
        <v>33060</v>
      </c>
      <c r="M26" s="58">
        <v>21703</v>
      </c>
      <c r="N26" s="10">
        <f t="shared" si="11"/>
        <v>96569.4</v>
      </c>
      <c r="O26" s="10">
        <f t="shared" si="12"/>
        <v>1283830.6000000001</v>
      </c>
      <c r="P26" s="57">
        <v>44995</v>
      </c>
      <c r="Q26" s="40" t="s">
        <v>24</v>
      </c>
      <c r="R26" s="9">
        <v>1283831</v>
      </c>
      <c r="S26" s="10">
        <f t="shared" si="13"/>
        <v>-0.39999999990686774</v>
      </c>
      <c r="T26" s="6" t="s">
        <v>25</v>
      </c>
    </row>
    <row r="27" spans="1:21">
      <c r="A27" s="143"/>
      <c r="B27" s="11"/>
      <c r="C27" s="11"/>
      <c r="D27" s="12"/>
      <c r="E27" s="13"/>
      <c r="F27" s="12"/>
      <c r="G27" s="14">
        <f>SUM(G17:G26)</f>
        <v>16770000</v>
      </c>
      <c r="H27" s="14">
        <f t="shared" ref="H27:T27" si="14">SUM(H17:H26)</f>
        <v>3186300</v>
      </c>
      <c r="I27" s="14">
        <f t="shared" si="14"/>
        <v>19956300</v>
      </c>
      <c r="J27" s="14">
        <f t="shared" si="14"/>
        <v>534400</v>
      </c>
      <c r="K27" s="14">
        <f t="shared" si="14"/>
        <v>164054.39999999997</v>
      </c>
      <c r="L27" s="14">
        <f t="shared" si="14"/>
        <v>423510</v>
      </c>
      <c r="M27" s="14">
        <f t="shared" si="14"/>
        <v>38541</v>
      </c>
      <c r="N27" s="14">
        <f t="shared" si="14"/>
        <v>1160505.3999999999</v>
      </c>
      <c r="O27" s="14">
        <f t="shared" si="14"/>
        <v>18795794.600000001</v>
      </c>
      <c r="P27" s="14">
        <f t="shared" si="14"/>
        <v>360019</v>
      </c>
      <c r="Q27" s="14">
        <f t="shared" si="14"/>
        <v>0</v>
      </c>
      <c r="R27" s="14">
        <f t="shared" si="14"/>
        <v>16522895</v>
      </c>
      <c r="S27" s="14">
        <f t="shared" si="14"/>
        <v>2272899.6</v>
      </c>
      <c r="T27" s="14">
        <f t="shared" si="14"/>
        <v>0</v>
      </c>
    </row>
    <row r="28" spans="1:21">
      <c r="E28" s="5"/>
      <c r="G28" s="2"/>
      <c r="H28" s="3"/>
      <c r="I28" s="3"/>
      <c r="J28" s="3"/>
      <c r="K28" s="3"/>
      <c r="L28" s="3"/>
      <c r="N28" s="3"/>
      <c r="O28" s="3"/>
      <c r="S28" s="3"/>
    </row>
    <row r="29" spans="1:21">
      <c r="A29" s="143" t="s">
        <v>70</v>
      </c>
      <c r="B29" s="6" t="s">
        <v>71</v>
      </c>
      <c r="C29" s="6" t="s">
        <v>21</v>
      </c>
      <c r="D29" s="7" t="s">
        <v>47</v>
      </c>
      <c r="E29" s="8">
        <v>44961</v>
      </c>
      <c r="F29" s="7" t="s">
        <v>72</v>
      </c>
      <c r="G29" s="9">
        <v>310000</v>
      </c>
      <c r="H29" s="10">
        <f t="shared" ref="H29:H36" si="15">G29*0.19</f>
        <v>58900</v>
      </c>
      <c r="I29" s="10">
        <f t="shared" ref="I29:I36" si="16">G29+H29</f>
        <v>368900</v>
      </c>
      <c r="J29" s="10">
        <f t="shared" ref="J29:J36" si="17">G29*0.04</f>
        <v>12400</v>
      </c>
      <c r="K29" s="10">
        <f t="shared" ref="K29:K36" si="18">G29*11.04/1000</f>
        <v>3422.3999999999996</v>
      </c>
      <c r="L29" s="10">
        <f t="shared" ref="L29:L36" si="19">H29*0.15</f>
        <v>8835</v>
      </c>
      <c r="M29" s="58">
        <v>0</v>
      </c>
      <c r="N29" s="10">
        <f t="shared" ref="N29:N36" si="20">SUM(J29:M29)</f>
        <v>24657.4</v>
      </c>
      <c r="O29" s="10">
        <f t="shared" ref="O29:O36" si="21">+I29-N29</f>
        <v>344242.6</v>
      </c>
      <c r="P29" s="57">
        <v>45002</v>
      </c>
      <c r="Q29" s="40" t="s">
        <v>24</v>
      </c>
      <c r="R29" s="9">
        <v>344243</v>
      </c>
      <c r="S29" s="10">
        <f t="shared" ref="S29:S36" si="22">+O29-R29</f>
        <v>-0.40000000002328306</v>
      </c>
      <c r="T29" s="6" t="s">
        <v>25</v>
      </c>
    </row>
    <row r="30" spans="1:21">
      <c r="A30" s="143"/>
      <c r="B30" s="6" t="s">
        <v>73</v>
      </c>
      <c r="C30" s="6" t="s">
        <v>21</v>
      </c>
      <c r="D30" s="7" t="s">
        <v>47</v>
      </c>
      <c r="E30" s="8">
        <v>44963</v>
      </c>
      <c r="F30" s="7" t="s">
        <v>74</v>
      </c>
      <c r="G30" s="9">
        <v>4800000</v>
      </c>
      <c r="H30" s="10">
        <f t="shared" si="15"/>
        <v>912000</v>
      </c>
      <c r="I30" s="10">
        <f t="shared" si="16"/>
        <v>5712000</v>
      </c>
      <c r="J30" s="10">
        <f t="shared" si="17"/>
        <v>192000</v>
      </c>
      <c r="K30" s="10">
        <f t="shared" si="18"/>
        <v>52991.999999999993</v>
      </c>
      <c r="L30" s="10">
        <f t="shared" si="19"/>
        <v>136800</v>
      </c>
      <c r="M30" s="58">
        <v>0</v>
      </c>
      <c r="N30" s="10">
        <f t="shared" si="20"/>
        <v>381792</v>
      </c>
      <c r="O30" s="10">
        <f t="shared" si="21"/>
        <v>5330208</v>
      </c>
      <c r="P30" s="57">
        <v>45016</v>
      </c>
      <c r="Q30" s="40" t="s">
        <v>24</v>
      </c>
      <c r="R30" s="9">
        <v>5330208</v>
      </c>
      <c r="S30" s="10">
        <f t="shared" si="22"/>
        <v>0</v>
      </c>
      <c r="T30" s="6" t="s">
        <v>25</v>
      </c>
    </row>
    <row r="31" spans="1:21">
      <c r="A31" s="143"/>
      <c r="B31" s="6" t="s">
        <v>75</v>
      </c>
      <c r="C31" s="6" t="s">
        <v>21</v>
      </c>
      <c r="D31" s="7" t="s">
        <v>47</v>
      </c>
      <c r="E31" s="8">
        <v>44963</v>
      </c>
      <c r="F31" s="7" t="s">
        <v>76</v>
      </c>
      <c r="G31" s="9">
        <v>500000</v>
      </c>
      <c r="H31" s="10">
        <f t="shared" si="15"/>
        <v>95000</v>
      </c>
      <c r="I31" s="10">
        <f t="shared" si="16"/>
        <v>595000</v>
      </c>
      <c r="J31" s="10">
        <f t="shared" si="17"/>
        <v>20000</v>
      </c>
      <c r="K31" s="10">
        <f t="shared" si="18"/>
        <v>5520</v>
      </c>
      <c r="L31" s="10">
        <f t="shared" si="19"/>
        <v>14250</v>
      </c>
      <c r="M31" s="58">
        <v>0</v>
      </c>
      <c r="N31" s="10">
        <f t="shared" si="20"/>
        <v>39770</v>
      </c>
      <c r="O31" s="10">
        <f t="shared" si="21"/>
        <v>555230</v>
      </c>
      <c r="P31" s="57">
        <v>45002</v>
      </c>
      <c r="Q31" s="40" t="s">
        <v>24</v>
      </c>
      <c r="R31" s="9">
        <v>555230</v>
      </c>
      <c r="S31" s="10">
        <f t="shared" si="22"/>
        <v>0</v>
      </c>
      <c r="T31" s="6" t="s">
        <v>25</v>
      </c>
    </row>
    <row r="32" spans="1:21">
      <c r="A32" s="143"/>
      <c r="B32" s="6" t="s">
        <v>77</v>
      </c>
      <c r="C32" s="6" t="s">
        <v>78</v>
      </c>
      <c r="D32" s="7" t="s">
        <v>79</v>
      </c>
      <c r="E32" s="8">
        <v>44966</v>
      </c>
      <c r="F32" s="7" t="s">
        <v>80</v>
      </c>
      <c r="G32" s="9">
        <v>1050000</v>
      </c>
      <c r="H32" s="10">
        <f t="shared" si="15"/>
        <v>199500</v>
      </c>
      <c r="I32" s="10">
        <f t="shared" si="16"/>
        <v>1249500</v>
      </c>
      <c r="J32" s="10"/>
      <c r="K32" s="10"/>
      <c r="L32" s="10"/>
      <c r="M32" s="58">
        <v>0</v>
      </c>
      <c r="N32" s="10">
        <f t="shared" si="20"/>
        <v>0</v>
      </c>
      <c r="O32" s="10">
        <f t="shared" si="21"/>
        <v>1249500</v>
      </c>
      <c r="P32" s="7"/>
      <c r="Q32" s="6"/>
      <c r="R32" s="9"/>
      <c r="S32" s="10">
        <f t="shared" si="22"/>
        <v>1249500</v>
      </c>
      <c r="T32" s="6"/>
      <c r="U32" s="3"/>
    </row>
    <row r="33" spans="1:21">
      <c r="A33" s="143"/>
      <c r="B33" s="6" t="s">
        <v>81</v>
      </c>
      <c r="C33" s="6" t="s">
        <v>21</v>
      </c>
      <c r="D33" s="7" t="s">
        <v>47</v>
      </c>
      <c r="E33" s="8">
        <v>44970</v>
      </c>
      <c r="F33" s="7" t="s">
        <v>82</v>
      </c>
      <c r="G33" s="9">
        <v>4000000</v>
      </c>
      <c r="H33" s="10">
        <f t="shared" si="15"/>
        <v>760000</v>
      </c>
      <c r="I33" s="10">
        <f t="shared" si="16"/>
        <v>4760000</v>
      </c>
      <c r="J33" s="10">
        <f>G33*0.025</f>
        <v>100000</v>
      </c>
      <c r="K33" s="10">
        <f t="shared" si="18"/>
        <v>44160</v>
      </c>
      <c r="L33" s="10">
        <f t="shared" si="19"/>
        <v>114000</v>
      </c>
      <c r="M33" s="58">
        <v>0</v>
      </c>
      <c r="N33" s="10">
        <f t="shared" si="20"/>
        <v>258160</v>
      </c>
      <c r="O33" s="10">
        <f t="shared" si="21"/>
        <v>4501840</v>
      </c>
      <c r="P33" s="57">
        <v>45026</v>
      </c>
      <c r="Q33" s="40" t="s">
        <v>24</v>
      </c>
      <c r="R33" s="9">
        <v>4501840</v>
      </c>
      <c r="S33" s="10">
        <f t="shared" si="22"/>
        <v>0</v>
      </c>
      <c r="T33" s="6" t="s">
        <v>25</v>
      </c>
    </row>
    <row r="34" spans="1:21">
      <c r="A34" s="143"/>
      <c r="B34" s="6" t="s">
        <v>83</v>
      </c>
      <c r="C34" s="6" t="s">
        <v>21</v>
      </c>
      <c r="D34" s="7" t="s">
        <v>47</v>
      </c>
      <c r="E34" s="8">
        <v>44970</v>
      </c>
      <c r="F34" s="7" t="s">
        <v>84</v>
      </c>
      <c r="G34" s="9">
        <v>880000</v>
      </c>
      <c r="H34" s="10">
        <f t="shared" si="15"/>
        <v>167200</v>
      </c>
      <c r="I34" s="10">
        <f t="shared" si="16"/>
        <v>1047200</v>
      </c>
      <c r="J34" s="10">
        <f t="shared" si="17"/>
        <v>35200</v>
      </c>
      <c r="K34" s="10">
        <f t="shared" si="18"/>
        <v>9715.2000000000007</v>
      </c>
      <c r="L34" s="10">
        <f t="shared" si="19"/>
        <v>25080</v>
      </c>
      <c r="M34" s="58">
        <v>0</v>
      </c>
      <c r="N34" s="10">
        <f t="shared" si="20"/>
        <v>69995.199999999997</v>
      </c>
      <c r="O34" s="10">
        <f t="shared" si="21"/>
        <v>977204.8</v>
      </c>
      <c r="P34" s="57">
        <v>45026</v>
      </c>
      <c r="Q34" s="40" t="s">
        <v>24</v>
      </c>
      <c r="R34" s="9">
        <v>977205</v>
      </c>
      <c r="S34" s="10">
        <f t="shared" si="22"/>
        <v>-0.19999999995343387</v>
      </c>
      <c r="T34" s="6" t="s">
        <v>25</v>
      </c>
    </row>
    <row r="35" spans="1:21">
      <c r="A35" s="143"/>
      <c r="B35" s="6" t="s">
        <v>85</v>
      </c>
      <c r="C35" s="6" t="s">
        <v>21</v>
      </c>
      <c r="D35" s="7" t="s">
        <v>47</v>
      </c>
      <c r="E35" s="8">
        <v>44974</v>
      </c>
      <c r="F35" s="7" t="s">
        <v>86</v>
      </c>
      <c r="G35" s="9">
        <v>3000000</v>
      </c>
      <c r="H35" s="10">
        <f t="shared" si="15"/>
        <v>570000</v>
      </c>
      <c r="I35" s="10">
        <f t="shared" si="16"/>
        <v>3570000</v>
      </c>
      <c r="J35" s="10"/>
      <c r="K35" s="10"/>
      <c r="L35" s="10">
        <f t="shared" si="19"/>
        <v>85500</v>
      </c>
      <c r="M35" s="58">
        <v>0</v>
      </c>
      <c r="N35" s="10">
        <f t="shared" si="20"/>
        <v>85500</v>
      </c>
      <c r="O35" s="10">
        <f t="shared" si="21"/>
        <v>3484500</v>
      </c>
      <c r="P35" s="57">
        <v>45065</v>
      </c>
      <c r="Q35" s="40" t="s">
        <v>24</v>
      </c>
      <c r="R35" s="9">
        <v>3484500</v>
      </c>
      <c r="S35" s="10">
        <f t="shared" si="22"/>
        <v>0</v>
      </c>
      <c r="T35" s="6" t="s">
        <v>25</v>
      </c>
    </row>
    <row r="36" spans="1:21">
      <c r="A36" s="143"/>
      <c r="B36" s="6" t="s">
        <v>87</v>
      </c>
      <c r="C36" s="6" t="s">
        <v>21</v>
      </c>
      <c r="D36" s="7" t="s">
        <v>47</v>
      </c>
      <c r="E36" s="8">
        <v>44977</v>
      </c>
      <c r="F36" s="7" t="s">
        <v>88</v>
      </c>
      <c r="G36" s="9">
        <v>850000</v>
      </c>
      <c r="H36" s="10">
        <f t="shared" si="15"/>
        <v>161500</v>
      </c>
      <c r="I36" s="10">
        <f t="shared" si="16"/>
        <v>1011500</v>
      </c>
      <c r="J36" s="10">
        <f t="shared" si="17"/>
        <v>34000</v>
      </c>
      <c r="K36" s="10">
        <f t="shared" si="18"/>
        <v>9384</v>
      </c>
      <c r="L36" s="10">
        <f t="shared" si="19"/>
        <v>24225</v>
      </c>
      <c r="M36" s="58">
        <v>0</v>
      </c>
      <c r="N36" s="10">
        <f t="shared" si="20"/>
        <v>67609</v>
      </c>
      <c r="O36" s="10">
        <f t="shared" si="21"/>
        <v>943891</v>
      </c>
      <c r="P36" s="57">
        <v>45037</v>
      </c>
      <c r="Q36" s="40" t="s">
        <v>24</v>
      </c>
      <c r="R36" s="9">
        <v>142891</v>
      </c>
      <c r="S36" s="59">
        <f t="shared" si="22"/>
        <v>801000</v>
      </c>
      <c r="T36" s="6" t="s">
        <v>25</v>
      </c>
      <c r="U36" t="s">
        <v>89</v>
      </c>
    </row>
    <row r="37" spans="1:21">
      <c r="A37" s="143"/>
      <c r="B37" s="11"/>
      <c r="C37" s="11"/>
      <c r="D37" s="12"/>
      <c r="E37" s="13"/>
      <c r="F37" s="12"/>
      <c r="G37" s="14">
        <f>SUM(G29:G36)</f>
        <v>15390000</v>
      </c>
      <c r="H37" s="14">
        <f>SUM(H29:H36)</f>
        <v>2924100</v>
      </c>
      <c r="I37" s="14">
        <f t="shared" ref="I37:R37" si="23">SUM(I29:I36)</f>
        <v>18314100</v>
      </c>
      <c r="J37" s="14">
        <f t="shared" si="23"/>
        <v>393600</v>
      </c>
      <c r="K37" s="14">
        <f t="shared" si="23"/>
        <v>125193.59999999999</v>
      </c>
      <c r="L37" s="14">
        <f t="shared" si="23"/>
        <v>408690</v>
      </c>
      <c r="M37" s="15">
        <f t="shared" si="23"/>
        <v>0</v>
      </c>
      <c r="N37" s="14">
        <f t="shared" si="23"/>
        <v>927483.6</v>
      </c>
      <c r="O37" s="14">
        <f t="shared" si="23"/>
        <v>17386616.399999999</v>
      </c>
      <c r="P37" s="14">
        <f t="shared" si="23"/>
        <v>315174</v>
      </c>
      <c r="Q37" s="15">
        <f t="shared" si="23"/>
        <v>0</v>
      </c>
      <c r="R37" s="14">
        <f t="shared" si="23"/>
        <v>15336117</v>
      </c>
      <c r="S37" s="14">
        <f>SUM(S29:S36)</f>
        <v>2050499.4000000001</v>
      </c>
      <c r="T37" s="15"/>
    </row>
    <row r="38" spans="1:21">
      <c r="E38" s="5"/>
      <c r="G38" s="2"/>
      <c r="H38" s="3"/>
      <c r="I38" s="3"/>
      <c r="J38" s="3"/>
      <c r="K38" s="3"/>
      <c r="L38" s="3"/>
      <c r="N38" s="3"/>
      <c r="O38" s="3">
        <f>+O35+O46</f>
        <v>3664499.4</v>
      </c>
      <c r="S38" s="3"/>
    </row>
    <row r="39" spans="1:21">
      <c r="A39" s="143" t="s">
        <v>90</v>
      </c>
      <c r="B39" s="6" t="s">
        <v>91</v>
      </c>
      <c r="C39" s="6" t="s">
        <v>21</v>
      </c>
      <c r="D39" s="7" t="s">
        <v>47</v>
      </c>
      <c r="E39" s="8">
        <v>44991</v>
      </c>
      <c r="F39" s="7" t="s">
        <v>92</v>
      </c>
      <c r="G39" s="9">
        <v>3980000</v>
      </c>
      <c r="H39" s="10">
        <f t="shared" ref="H39:H46" si="24">G39*0.19</f>
        <v>756200</v>
      </c>
      <c r="I39" s="10">
        <f t="shared" ref="I39:I46" si="25">G39+H39</f>
        <v>4736200</v>
      </c>
      <c r="J39" s="10">
        <f>G39*0.025</f>
        <v>99500</v>
      </c>
      <c r="K39" s="10">
        <f t="shared" ref="K39:K44" si="26">G39*11.04/1000</f>
        <v>43939.199999999997</v>
      </c>
      <c r="L39" s="10">
        <f t="shared" ref="L39:L44" si="27">H39*0.15</f>
        <v>113430</v>
      </c>
      <c r="M39" s="58">
        <v>0</v>
      </c>
      <c r="N39" s="10">
        <f t="shared" ref="N39:N46" si="28">SUM(J39:M39)</f>
        <v>256869.2</v>
      </c>
      <c r="O39" s="10">
        <f t="shared" ref="O39:O46" si="29">+I39-N39</f>
        <v>4479330.8</v>
      </c>
      <c r="P39" s="57">
        <v>45044</v>
      </c>
      <c r="Q39" s="40" t="s">
        <v>24</v>
      </c>
      <c r="R39" s="9">
        <v>4479331</v>
      </c>
      <c r="S39" s="10">
        <f t="shared" ref="S39:S46" si="30">+O39-R39</f>
        <v>-0.20000000018626451</v>
      </c>
      <c r="T39" s="6" t="s">
        <v>25</v>
      </c>
    </row>
    <row r="40" spans="1:21">
      <c r="A40" s="143"/>
      <c r="B40" s="6" t="s">
        <v>93</v>
      </c>
      <c r="C40" s="6" t="s">
        <v>94</v>
      </c>
      <c r="D40" s="7" t="s">
        <v>95</v>
      </c>
      <c r="E40" s="8">
        <v>44991</v>
      </c>
      <c r="F40" s="7" t="s">
        <v>96</v>
      </c>
      <c r="G40" s="9">
        <v>1000000</v>
      </c>
      <c r="H40" s="10">
        <f t="shared" si="24"/>
        <v>190000</v>
      </c>
      <c r="I40" s="10">
        <f t="shared" si="25"/>
        <v>1190000</v>
      </c>
      <c r="J40" s="10"/>
      <c r="K40" s="10"/>
      <c r="L40" s="10"/>
      <c r="M40" s="58">
        <v>0</v>
      </c>
      <c r="N40" s="10">
        <f t="shared" si="28"/>
        <v>0</v>
      </c>
      <c r="O40" s="10">
        <f t="shared" si="29"/>
        <v>1190000</v>
      </c>
      <c r="P40" s="7"/>
      <c r="Q40" s="6"/>
      <c r="R40" s="9"/>
      <c r="S40" s="10">
        <f t="shared" si="30"/>
        <v>1190000</v>
      </c>
      <c r="T40" s="6"/>
      <c r="U40" s="3"/>
    </row>
    <row r="41" spans="1:21">
      <c r="A41" s="143"/>
      <c r="B41" s="6" t="s">
        <v>97</v>
      </c>
      <c r="C41" s="6" t="s">
        <v>21</v>
      </c>
      <c r="D41" s="7" t="s">
        <v>47</v>
      </c>
      <c r="E41" s="8">
        <v>44991</v>
      </c>
      <c r="F41" s="7" t="s">
        <v>98</v>
      </c>
      <c r="G41" s="9">
        <v>900000</v>
      </c>
      <c r="H41" s="10">
        <f t="shared" si="24"/>
        <v>171000</v>
      </c>
      <c r="I41" s="10">
        <f t="shared" si="25"/>
        <v>1071000</v>
      </c>
      <c r="J41" s="10">
        <f>G41*0.025</f>
        <v>22500</v>
      </c>
      <c r="K41" s="10">
        <f t="shared" si="26"/>
        <v>9936</v>
      </c>
      <c r="L41" s="10">
        <f t="shared" si="27"/>
        <v>25650</v>
      </c>
      <c r="M41" s="58">
        <v>16838</v>
      </c>
      <c r="N41" s="10">
        <f t="shared" si="28"/>
        <v>74924</v>
      </c>
      <c r="O41" s="10">
        <f t="shared" si="29"/>
        <v>996076</v>
      </c>
      <c r="P41" s="57">
        <v>45030</v>
      </c>
      <c r="Q41" s="40" t="s">
        <v>24</v>
      </c>
      <c r="R41" s="9">
        <v>996076</v>
      </c>
      <c r="S41" s="10">
        <f t="shared" si="30"/>
        <v>0</v>
      </c>
      <c r="T41" s="6" t="s">
        <v>25</v>
      </c>
    </row>
    <row r="42" spans="1:21">
      <c r="A42" s="143"/>
      <c r="B42" s="6" t="s">
        <v>99</v>
      </c>
      <c r="C42" s="6" t="s">
        <v>21</v>
      </c>
      <c r="D42" s="7" t="s">
        <v>47</v>
      </c>
      <c r="E42" s="8">
        <v>44992</v>
      </c>
      <c r="F42" s="7" t="s">
        <v>100</v>
      </c>
      <c r="G42" s="9">
        <v>700000</v>
      </c>
      <c r="H42" s="10">
        <f t="shared" si="24"/>
        <v>133000</v>
      </c>
      <c r="I42" s="10">
        <f t="shared" si="25"/>
        <v>833000</v>
      </c>
      <c r="J42" s="10">
        <f>G42*0.025</f>
        <v>17500</v>
      </c>
      <c r="K42" s="10">
        <f t="shared" si="26"/>
        <v>7727.9999999999991</v>
      </c>
      <c r="L42" s="10">
        <f t="shared" si="27"/>
        <v>19950</v>
      </c>
      <c r="M42" s="58">
        <v>0</v>
      </c>
      <c r="N42" s="10">
        <f t="shared" si="28"/>
        <v>45178</v>
      </c>
      <c r="O42" s="10">
        <f t="shared" si="29"/>
        <v>787822</v>
      </c>
      <c r="P42" s="57">
        <v>45030</v>
      </c>
      <c r="Q42" s="40" t="s">
        <v>24</v>
      </c>
      <c r="R42" s="9">
        <v>787822</v>
      </c>
      <c r="S42" s="10">
        <f t="shared" si="30"/>
        <v>0</v>
      </c>
      <c r="T42" s="6" t="s">
        <v>25</v>
      </c>
      <c r="U42" s="3"/>
    </row>
    <row r="43" spans="1:21">
      <c r="A43" s="143"/>
      <c r="B43" s="6" t="s">
        <v>101</v>
      </c>
      <c r="C43" s="6" t="s">
        <v>21</v>
      </c>
      <c r="D43" s="7" t="s">
        <v>47</v>
      </c>
      <c r="E43" s="8">
        <v>44992</v>
      </c>
      <c r="F43" s="7" t="s">
        <v>102</v>
      </c>
      <c r="G43" s="9">
        <v>2500000</v>
      </c>
      <c r="H43" s="10">
        <f t="shared" si="24"/>
        <v>475000</v>
      </c>
      <c r="I43" s="10">
        <f t="shared" si="25"/>
        <v>2975000</v>
      </c>
      <c r="J43" s="10">
        <f>G43*0.025</f>
        <v>62500</v>
      </c>
      <c r="K43" s="10">
        <f t="shared" si="26"/>
        <v>27599.999999999996</v>
      </c>
      <c r="L43" s="10">
        <f t="shared" si="27"/>
        <v>71250</v>
      </c>
      <c r="M43" s="58">
        <v>23386</v>
      </c>
      <c r="N43" s="10">
        <f t="shared" si="28"/>
        <v>184736</v>
      </c>
      <c r="O43" s="10">
        <f t="shared" si="29"/>
        <v>2790264</v>
      </c>
      <c r="P43" s="57">
        <v>45030</v>
      </c>
      <c r="Q43" s="40" t="s">
        <v>24</v>
      </c>
      <c r="R43" s="9">
        <v>2790264</v>
      </c>
      <c r="S43" s="10">
        <f t="shared" si="30"/>
        <v>0</v>
      </c>
      <c r="T43" s="6" t="s">
        <v>25</v>
      </c>
    </row>
    <row r="44" spans="1:21" ht="16.5" customHeight="1">
      <c r="A44" s="143"/>
      <c r="B44" s="6" t="s">
        <v>103</v>
      </c>
      <c r="C44" s="6" t="s">
        <v>21</v>
      </c>
      <c r="D44" s="7" t="s">
        <v>47</v>
      </c>
      <c r="E44" s="8">
        <v>44993</v>
      </c>
      <c r="F44" s="7" t="s">
        <v>104</v>
      </c>
      <c r="G44" s="9">
        <v>800000</v>
      </c>
      <c r="H44" s="10">
        <f t="shared" si="24"/>
        <v>152000</v>
      </c>
      <c r="I44" s="10">
        <f t="shared" si="25"/>
        <v>952000</v>
      </c>
      <c r="J44" s="10">
        <f>G44*0.025</f>
        <v>20000</v>
      </c>
      <c r="K44" s="10">
        <f t="shared" si="26"/>
        <v>8832</v>
      </c>
      <c r="L44" s="10">
        <f t="shared" si="27"/>
        <v>22800</v>
      </c>
      <c r="M44" s="58">
        <v>0</v>
      </c>
      <c r="N44" s="10">
        <f t="shared" si="28"/>
        <v>51632</v>
      </c>
      <c r="O44" s="10">
        <f t="shared" si="29"/>
        <v>900368</v>
      </c>
      <c r="P44" s="57">
        <v>45030</v>
      </c>
      <c r="Q44" s="40" t="s">
        <v>24</v>
      </c>
      <c r="R44" s="9">
        <v>900368</v>
      </c>
      <c r="S44" s="10">
        <f t="shared" si="30"/>
        <v>0</v>
      </c>
      <c r="T44" s="6" t="s">
        <v>25</v>
      </c>
    </row>
    <row r="45" spans="1:21" ht="16.5" customHeight="1">
      <c r="A45" s="143"/>
      <c r="B45" s="6" t="s">
        <v>105</v>
      </c>
      <c r="C45" s="6" t="s">
        <v>21</v>
      </c>
      <c r="D45" s="7" t="s">
        <v>47</v>
      </c>
      <c r="E45" s="8">
        <v>45000</v>
      </c>
      <c r="F45" s="7" t="s">
        <v>106</v>
      </c>
      <c r="G45" s="9">
        <v>2920000</v>
      </c>
      <c r="H45" s="10">
        <f t="shared" si="24"/>
        <v>554800</v>
      </c>
      <c r="I45" s="10">
        <f t="shared" si="25"/>
        <v>3474800</v>
      </c>
      <c r="J45" s="10"/>
      <c r="K45" s="10"/>
      <c r="L45" s="10"/>
      <c r="M45" s="58">
        <v>0</v>
      </c>
      <c r="N45" s="10">
        <f t="shared" si="28"/>
        <v>0</v>
      </c>
      <c r="O45" s="10">
        <f t="shared" si="29"/>
        <v>3474800</v>
      </c>
      <c r="P45" s="7"/>
      <c r="Q45" s="6"/>
      <c r="R45" s="9"/>
      <c r="S45" s="10">
        <f t="shared" si="30"/>
        <v>3474800</v>
      </c>
      <c r="T45" s="6"/>
    </row>
    <row r="46" spans="1:21" ht="16.5" customHeight="1">
      <c r="A46" s="143"/>
      <c r="B46" s="6" t="s">
        <v>107</v>
      </c>
      <c r="C46" s="6" t="s">
        <v>21</v>
      </c>
      <c r="D46" s="7" t="s">
        <v>47</v>
      </c>
      <c r="E46" s="8">
        <v>45006</v>
      </c>
      <c r="F46" s="7" t="s">
        <v>108</v>
      </c>
      <c r="G46" s="9">
        <v>151260</v>
      </c>
      <c r="H46" s="10">
        <f t="shared" si="24"/>
        <v>28739.4</v>
      </c>
      <c r="I46" s="10">
        <f t="shared" si="25"/>
        <v>179999.4</v>
      </c>
      <c r="J46" s="10"/>
      <c r="K46" s="10"/>
      <c r="L46" s="10"/>
      <c r="M46" s="58">
        <v>0</v>
      </c>
      <c r="N46" s="10">
        <f t="shared" si="28"/>
        <v>0</v>
      </c>
      <c r="O46" s="10">
        <f t="shared" si="29"/>
        <v>179999.4</v>
      </c>
      <c r="P46" s="7"/>
      <c r="Q46" s="6"/>
      <c r="R46" s="9"/>
      <c r="S46" s="10">
        <f t="shared" si="30"/>
        <v>179999.4</v>
      </c>
      <c r="T46" s="6"/>
    </row>
    <row r="47" spans="1:21">
      <c r="A47" s="143"/>
      <c r="B47" s="11"/>
      <c r="C47" s="11"/>
      <c r="D47" s="12"/>
      <c r="E47" s="13"/>
      <c r="F47" s="12"/>
      <c r="G47" s="14">
        <f t="shared" ref="G47:S47" si="31">SUM(G39:G46)</f>
        <v>12951260</v>
      </c>
      <c r="H47" s="14">
        <f t="shared" si="31"/>
        <v>2460739.4</v>
      </c>
      <c r="I47" s="14">
        <f t="shared" si="31"/>
        <v>15411999.4</v>
      </c>
      <c r="J47" s="14">
        <f t="shared" si="31"/>
        <v>222000</v>
      </c>
      <c r="K47" s="14">
        <f t="shared" si="31"/>
        <v>98035.199999999997</v>
      </c>
      <c r="L47" s="14">
        <f t="shared" si="31"/>
        <v>253080</v>
      </c>
      <c r="M47" s="15">
        <f t="shared" si="31"/>
        <v>40224</v>
      </c>
      <c r="N47" s="14">
        <f t="shared" si="31"/>
        <v>613339.19999999995</v>
      </c>
      <c r="O47" s="14">
        <f t="shared" si="31"/>
        <v>14798660.200000001</v>
      </c>
      <c r="P47" s="14">
        <f t="shared" si="31"/>
        <v>225164</v>
      </c>
      <c r="Q47" s="15">
        <f t="shared" si="31"/>
        <v>0</v>
      </c>
      <c r="R47" s="14">
        <f t="shared" si="31"/>
        <v>9953861</v>
      </c>
      <c r="S47" s="14">
        <f t="shared" si="31"/>
        <v>4844799.2</v>
      </c>
      <c r="T47" s="15"/>
    </row>
    <row r="48" spans="1:21" ht="16.5" customHeight="1">
      <c r="E48" s="5"/>
      <c r="G48" s="2"/>
      <c r="H48" s="3"/>
      <c r="I48" s="3"/>
      <c r="J48" s="3"/>
      <c r="K48" s="3"/>
      <c r="L48" s="3"/>
      <c r="N48" s="3"/>
      <c r="O48" s="3">
        <f>+O46+O45</f>
        <v>3654799.4</v>
      </c>
      <c r="S48" s="3"/>
    </row>
    <row r="49" spans="1:21" ht="16.5" customHeight="1">
      <c r="A49" s="143" t="s">
        <v>109</v>
      </c>
      <c r="B49" s="6" t="s">
        <v>110</v>
      </c>
      <c r="C49" s="6" t="s">
        <v>21</v>
      </c>
      <c r="D49" s="7" t="s">
        <v>47</v>
      </c>
      <c r="E49" s="8">
        <v>45036</v>
      </c>
      <c r="F49" s="7" t="s">
        <v>111</v>
      </c>
      <c r="G49" s="9">
        <v>13400000</v>
      </c>
      <c r="H49" s="10">
        <f>G49*0.19</f>
        <v>2546000</v>
      </c>
      <c r="I49" s="10">
        <f>G49+H49</f>
        <v>15946000</v>
      </c>
      <c r="J49" s="10">
        <f>G49*0.025</f>
        <v>335000</v>
      </c>
      <c r="K49" s="10">
        <f>G49*11.04/1000</f>
        <v>147936</v>
      </c>
      <c r="L49" s="10">
        <f>H49*0.15</f>
        <v>381900</v>
      </c>
      <c r="M49" s="58">
        <v>250703</v>
      </c>
      <c r="N49" s="10">
        <f>SUM(J49:M49)</f>
        <v>1115539</v>
      </c>
      <c r="O49" s="10">
        <f>+I49-N49</f>
        <v>14830461</v>
      </c>
      <c r="P49" s="57">
        <v>45072</v>
      </c>
      <c r="Q49" s="40" t="s">
        <v>24</v>
      </c>
      <c r="R49" s="9">
        <v>14830461</v>
      </c>
      <c r="S49" s="10">
        <f>+O49-R49</f>
        <v>0</v>
      </c>
      <c r="T49" s="6" t="s">
        <v>112</v>
      </c>
    </row>
    <row r="50" spans="1:21" ht="16.5" customHeight="1">
      <c r="A50" s="143"/>
      <c r="B50" s="6" t="s">
        <v>113</v>
      </c>
      <c r="C50" s="6" t="s">
        <v>21</v>
      </c>
      <c r="D50" s="7" t="s">
        <v>47</v>
      </c>
      <c r="E50" s="8">
        <v>45036</v>
      </c>
      <c r="F50" s="7" t="s">
        <v>114</v>
      </c>
      <c r="G50" s="9">
        <v>380000</v>
      </c>
      <c r="H50" s="10">
        <f>G50*0.19</f>
        <v>72200</v>
      </c>
      <c r="I50" s="10">
        <f>G50+H50</f>
        <v>452200</v>
      </c>
      <c r="J50" s="10">
        <f>G50*0.025</f>
        <v>9500</v>
      </c>
      <c r="K50" s="10">
        <f>G50*11.04/1000</f>
        <v>4195.2</v>
      </c>
      <c r="L50" s="10">
        <f>H50*0.15</f>
        <v>10830</v>
      </c>
      <c r="M50" s="58">
        <v>7109</v>
      </c>
      <c r="N50" s="10">
        <f>SUM(J50:M50)</f>
        <v>31634.2</v>
      </c>
      <c r="O50" s="10">
        <f>+I50-N50</f>
        <v>420565.8</v>
      </c>
      <c r="P50" s="57">
        <v>45072</v>
      </c>
      <c r="Q50" s="40" t="s">
        <v>24</v>
      </c>
      <c r="R50" s="9">
        <v>420566</v>
      </c>
      <c r="S50" s="10">
        <f>+O50-R50</f>
        <v>-0.20000000001164153</v>
      </c>
      <c r="T50" s="6" t="s">
        <v>112</v>
      </c>
    </row>
    <row r="51" spans="1:21" ht="16.5" customHeight="1">
      <c r="A51" s="143"/>
      <c r="B51" s="6" t="s">
        <v>115</v>
      </c>
      <c r="C51" s="6" t="s">
        <v>21</v>
      </c>
      <c r="D51" s="7" t="s">
        <v>47</v>
      </c>
      <c r="E51" s="8">
        <v>45036</v>
      </c>
      <c r="F51" s="7" t="s">
        <v>116</v>
      </c>
      <c r="G51" s="9">
        <v>2200000</v>
      </c>
      <c r="H51" s="10">
        <f>G51*0.19</f>
        <v>418000</v>
      </c>
      <c r="I51" s="10">
        <f>G51+H51</f>
        <v>2618000</v>
      </c>
      <c r="J51" s="10"/>
      <c r="K51" s="10"/>
      <c r="L51" s="10">
        <f>H51*0.15</f>
        <v>62700</v>
      </c>
      <c r="M51" s="58">
        <v>0</v>
      </c>
      <c r="N51" s="10">
        <f>SUM(J51:M51)</f>
        <v>62700</v>
      </c>
      <c r="O51" s="10">
        <f>+I51-N51</f>
        <v>2555300</v>
      </c>
      <c r="P51" s="57">
        <v>45135</v>
      </c>
      <c r="Q51" s="40" t="s">
        <v>24</v>
      </c>
      <c r="R51" s="9">
        <v>2555300</v>
      </c>
      <c r="S51" s="10">
        <f>+O51-R51</f>
        <v>0</v>
      </c>
      <c r="T51" s="6" t="s">
        <v>112</v>
      </c>
      <c r="U51" s="3"/>
    </row>
    <row r="52" spans="1:21" ht="16.5" customHeight="1">
      <c r="A52" s="143"/>
      <c r="B52" s="6" t="s">
        <v>117</v>
      </c>
      <c r="C52" s="6" t="s">
        <v>21</v>
      </c>
      <c r="D52" s="7" t="s">
        <v>47</v>
      </c>
      <c r="E52" s="8">
        <v>45036</v>
      </c>
      <c r="F52" s="7" t="s">
        <v>118</v>
      </c>
      <c r="G52" s="9">
        <v>1500000</v>
      </c>
      <c r="H52" s="10">
        <f>G52*0.19</f>
        <v>285000</v>
      </c>
      <c r="I52" s="10">
        <f>G52+H52</f>
        <v>1785000</v>
      </c>
      <c r="J52" s="10"/>
      <c r="K52" s="10"/>
      <c r="L52" s="10">
        <f>H52*0.15</f>
        <v>42750</v>
      </c>
      <c r="M52" s="58">
        <v>0</v>
      </c>
      <c r="N52" s="10">
        <f>SUM(J52:M52)</f>
        <v>42750</v>
      </c>
      <c r="O52" s="10">
        <f>+I52-N52</f>
        <v>1742250</v>
      </c>
      <c r="P52" s="57">
        <v>45135</v>
      </c>
      <c r="Q52" s="40" t="s">
        <v>24</v>
      </c>
      <c r="R52" s="9">
        <v>1742250</v>
      </c>
      <c r="S52" s="10">
        <f>+O52-R52</f>
        <v>0</v>
      </c>
      <c r="T52" s="6" t="s">
        <v>112</v>
      </c>
    </row>
    <row r="53" spans="1:21" ht="16.5" customHeight="1">
      <c r="A53" s="143"/>
      <c r="B53" s="6" t="s">
        <v>119</v>
      </c>
      <c r="C53" s="6" t="s">
        <v>21</v>
      </c>
      <c r="D53" s="7" t="s">
        <v>47</v>
      </c>
      <c r="E53" s="8">
        <v>45036</v>
      </c>
      <c r="F53" s="7" t="s">
        <v>120</v>
      </c>
      <c r="G53" s="9">
        <v>420000</v>
      </c>
      <c r="H53" s="10">
        <f>G53*0.19</f>
        <v>79800</v>
      </c>
      <c r="I53" s="10">
        <f>G53+H53</f>
        <v>499800</v>
      </c>
      <c r="J53" s="10">
        <f>G53*0.025</f>
        <v>10500</v>
      </c>
      <c r="K53" s="10">
        <f>G53*11.04/1000</f>
        <v>4636.8</v>
      </c>
      <c r="L53" s="10">
        <f>H53*0.15</f>
        <v>11970</v>
      </c>
      <c r="M53" s="58">
        <v>7858</v>
      </c>
      <c r="N53" s="10">
        <f>SUM(J53:M53)</f>
        <v>34964.800000000003</v>
      </c>
      <c r="O53" s="10">
        <f>+I53-N53</f>
        <v>464835.2</v>
      </c>
      <c r="P53" s="57">
        <v>45072</v>
      </c>
      <c r="Q53" s="40" t="s">
        <v>24</v>
      </c>
      <c r="R53" s="9">
        <v>464835</v>
      </c>
      <c r="S53" s="10">
        <f>+O53-R53</f>
        <v>0.20000000001164153</v>
      </c>
      <c r="T53" s="6" t="s">
        <v>112</v>
      </c>
    </row>
    <row r="54" spans="1:21">
      <c r="A54" s="143"/>
      <c r="B54" s="11"/>
      <c r="C54" s="11"/>
      <c r="D54" s="12"/>
      <c r="E54" s="13"/>
      <c r="F54" s="12"/>
      <c r="G54" s="14">
        <f>SUM(G49:G53)</f>
        <v>17900000</v>
      </c>
      <c r="H54" s="14">
        <f>SUM(H49:H53)</f>
        <v>3401000</v>
      </c>
      <c r="I54" s="14">
        <f t="shared" ref="I54:R54" si="32">SUM(I49:I53)</f>
        <v>21301000</v>
      </c>
      <c r="J54" s="14">
        <f t="shared" si="32"/>
        <v>355000</v>
      </c>
      <c r="K54" s="14">
        <f t="shared" si="32"/>
        <v>156768</v>
      </c>
      <c r="L54" s="14">
        <f t="shared" si="32"/>
        <v>510150</v>
      </c>
      <c r="M54" s="15">
        <f t="shared" si="32"/>
        <v>265670</v>
      </c>
      <c r="N54" s="14">
        <f t="shared" si="32"/>
        <v>1287588</v>
      </c>
      <c r="O54" s="14">
        <f>SUM(O49:O53)</f>
        <v>20013412</v>
      </c>
      <c r="P54" s="14">
        <f t="shared" si="32"/>
        <v>225486</v>
      </c>
      <c r="Q54" s="15">
        <f t="shared" si="32"/>
        <v>0</v>
      </c>
      <c r="R54" s="14">
        <f t="shared" si="32"/>
        <v>20013412</v>
      </c>
      <c r="S54" s="14">
        <f>SUM(S49:S53)</f>
        <v>0</v>
      </c>
      <c r="T54" s="15"/>
    </row>
    <row r="55" spans="1:21" ht="16.5" customHeight="1">
      <c r="A55" s="4"/>
      <c r="E55" s="5"/>
      <c r="G55" s="2"/>
      <c r="H55" s="3"/>
      <c r="I55" s="3"/>
      <c r="J55" s="3"/>
      <c r="K55" s="3"/>
      <c r="L55" s="3"/>
      <c r="N55" s="3"/>
      <c r="O55" s="3"/>
      <c r="S55" s="3"/>
    </row>
    <row r="56" spans="1:21" ht="16.5" customHeight="1">
      <c r="A56" s="143" t="s">
        <v>121</v>
      </c>
      <c r="B56" s="6" t="s">
        <v>122</v>
      </c>
      <c r="C56" s="6" t="s">
        <v>21</v>
      </c>
      <c r="D56" s="7" t="s">
        <v>47</v>
      </c>
      <c r="E56" s="8">
        <v>45048</v>
      </c>
      <c r="F56" s="7" t="s">
        <v>123</v>
      </c>
      <c r="G56" s="9">
        <v>2030000</v>
      </c>
      <c r="H56" s="10">
        <f t="shared" ref="H56:H63" si="33">G56*0.19</f>
        <v>385700</v>
      </c>
      <c r="I56" s="10">
        <f t="shared" ref="I56:I63" si="34">G56+H56</f>
        <v>2415700</v>
      </c>
      <c r="J56" s="10">
        <f>G56*0.025</f>
        <v>50750</v>
      </c>
      <c r="K56" s="10">
        <f t="shared" ref="K56:K63" si="35">G56*11.04/1000</f>
        <v>22411.200000000001</v>
      </c>
      <c r="L56" s="10">
        <f t="shared" ref="L56:L63" si="36">H56*0.15</f>
        <v>57855</v>
      </c>
      <c r="M56" s="58">
        <v>0</v>
      </c>
      <c r="N56" s="10">
        <f t="shared" ref="N56:N63" si="37">SUM(J56:M56)</f>
        <v>131016.2</v>
      </c>
      <c r="O56" s="10">
        <f t="shared" ref="O56:O63" si="38">+I56-N56</f>
        <v>2284683.7999999998</v>
      </c>
      <c r="P56" s="57">
        <v>45114</v>
      </c>
      <c r="Q56" s="40" t="s">
        <v>24</v>
      </c>
      <c r="R56" s="9">
        <v>2284684</v>
      </c>
      <c r="S56" s="10">
        <f t="shared" ref="S56:S63" si="39">+O56-R56</f>
        <v>-0.20000000018626451</v>
      </c>
      <c r="T56" s="6" t="s">
        <v>112</v>
      </c>
    </row>
    <row r="57" spans="1:21" ht="16.5" customHeight="1">
      <c r="A57" s="143"/>
      <c r="B57" s="6" t="s">
        <v>124</v>
      </c>
      <c r="C57" s="6" t="s">
        <v>21</v>
      </c>
      <c r="D57" s="7" t="s">
        <v>47</v>
      </c>
      <c r="E57" s="8">
        <v>45048</v>
      </c>
      <c r="F57" s="7" t="s">
        <v>125</v>
      </c>
      <c r="G57" s="9">
        <v>3800000</v>
      </c>
      <c r="H57" s="10">
        <f t="shared" si="33"/>
        <v>722000</v>
      </c>
      <c r="I57" s="10">
        <f t="shared" si="34"/>
        <v>4522000</v>
      </c>
      <c r="J57" s="10">
        <f>G57*0.025</f>
        <v>95000</v>
      </c>
      <c r="K57" s="10">
        <f t="shared" si="35"/>
        <v>41952</v>
      </c>
      <c r="L57" s="10">
        <f t="shared" si="36"/>
        <v>108300</v>
      </c>
      <c r="M57" s="58">
        <v>71095</v>
      </c>
      <c r="N57" s="10">
        <f t="shared" si="37"/>
        <v>316347</v>
      </c>
      <c r="O57" s="10">
        <f t="shared" si="38"/>
        <v>4205653</v>
      </c>
      <c r="P57" s="57">
        <v>45086</v>
      </c>
      <c r="Q57" s="40" t="s">
        <v>24</v>
      </c>
      <c r="R57" s="9">
        <v>4205653</v>
      </c>
      <c r="S57" s="10">
        <f t="shared" si="39"/>
        <v>0</v>
      </c>
      <c r="T57" s="6" t="s">
        <v>112</v>
      </c>
    </row>
    <row r="58" spans="1:21" ht="16.5" customHeight="1">
      <c r="A58" s="143"/>
      <c r="B58" s="6" t="s">
        <v>126</v>
      </c>
      <c r="C58" s="6" t="s">
        <v>21</v>
      </c>
      <c r="D58" s="7" t="s">
        <v>47</v>
      </c>
      <c r="E58" s="8">
        <v>45048</v>
      </c>
      <c r="F58" s="7" t="s">
        <v>76</v>
      </c>
      <c r="G58" s="9">
        <v>750000</v>
      </c>
      <c r="H58" s="10">
        <f t="shared" si="33"/>
        <v>142500</v>
      </c>
      <c r="I58" s="10">
        <f t="shared" si="34"/>
        <v>892500</v>
      </c>
      <c r="J58" s="10">
        <f>G58*0.025</f>
        <v>18750</v>
      </c>
      <c r="K58" s="10">
        <f t="shared" si="35"/>
        <v>8279.9999999999982</v>
      </c>
      <c r="L58" s="10">
        <f t="shared" si="36"/>
        <v>21375</v>
      </c>
      <c r="M58" s="58">
        <v>0</v>
      </c>
      <c r="N58" s="10">
        <f t="shared" si="37"/>
        <v>48405</v>
      </c>
      <c r="O58" s="10">
        <f t="shared" si="38"/>
        <v>844095</v>
      </c>
      <c r="P58" s="57">
        <v>45086</v>
      </c>
      <c r="Q58" s="40" t="s">
        <v>24</v>
      </c>
      <c r="R58" s="9">
        <v>844095</v>
      </c>
      <c r="S58" s="10">
        <f t="shared" si="39"/>
        <v>0</v>
      </c>
      <c r="T58" s="6" t="s">
        <v>112</v>
      </c>
      <c r="U58" s="3"/>
    </row>
    <row r="59" spans="1:21" ht="16.5" customHeight="1">
      <c r="A59" s="143"/>
      <c r="B59" s="6" t="s">
        <v>127</v>
      </c>
      <c r="C59" s="6" t="s">
        <v>21</v>
      </c>
      <c r="D59" s="7" t="s">
        <v>47</v>
      </c>
      <c r="E59" s="8">
        <v>45048</v>
      </c>
      <c r="F59" s="7" t="s">
        <v>76</v>
      </c>
      <c r="G59" s="9">
        <v>500000</v>
      </c>
      <c r="H59" s="10">
        <f t="shared" si="33"/>
        <v>95000</v>
      </c>
      <c r="I59" s="10">
        <f t="shared" si="34"/>
        <v>595000</v>
      </c>
      <c r="J59" s="10">
        <f>G59*0.025</f>
        <v>12500</v>
      </c>
      <c r="K59" s="10">
        <f t="shared" si="35"/>
        <v>5520</v>
      </c>
      <c r="L59" s="10">
        <f t="shared" si="36"/>
        <v>14250</v>
      </c>
      <c r="M59" s="58">
        <v>0</v>
      </c>
      <c r="N59" s="10">
        <f t="shared" si="37"/>
        <v>32270</v>
      </c>
      <c r="O59" s="10">
        <f t="shared" si="38"/>
        <v>562730</v>
      </c>
      <c r="P59" s="57">
        <v>45086</v>
      </c>
      <c r="Q59" s="40" t="s">
        <v>24</v>
      </c>
      <c r="R59" s="9">
        <v>562730</v>
      </c>
      <c r="S59" s="10">
        <f t="shared" si="39"/>
        <v>0</v>
      </c>
      <c r="T59" s="6" t="s">
        <v>112</v>
      </c>
    </row>
    <row r="60" spans="1:21" ht="16.5" customHeight="1">
      <c r="A60" s="143"/>
      <c r="B60" s="6" t="s">
        <v>128</v>
      </c>
      <c r="C60" s="6" t="s">
        <v>21</v>
      </c>
      <c r="D60" s="7" t="s">
        <v>47</v>
      </c>
      <c r="E60" s="8">
        <v>45051</v>
      </c>
      <c r="F60" s="7" t="s">
        <v>129</v>
      </c>
      <c r="G60" s="9">
        <v>2480000</v>
      </c>
      <c r="H60" s="10">
        <f t="shared" si="33"/>
        <v>471200</v>
      </c>
      <c r="I60" s="10">
        <f t="shared" si="34"/>
        <v>2951200</v>
      </c>
      <c r="J60" s="10"/>
      <c r="K60" s="10"/>
      <c r="L60" s="10">
        <f t="shared" si="36"/>
        <v>70680</v>
      </c>
      <c r="M60" s="58">
        <v>0</v>
      </c>
      <c r="N60" s="10">
        <f t="shared" si="37"/>
        <v>70680</v>
      </c>
      <c r="O60" s="10">
        <f t="shared" si="38"/>
        <v>2880520</v>
      </c>
      <c r="P60" s="57">
        <v>45135</v>
      </c>
      <c r="Q60" s="40" t="s">
        <v>24</v>
      </c>
      <c r="R60" s="9">
        <v>2880520</v>
      </c>
      <c r="S60" s="10">
        <f t="shared" si="39"/>
        <v>0</v>
      </c>
      <c r="T60" s="6" t="s">
        <v>112</v>
      </c>
    </row>
    <row r="61" spans="1:21" ht="16.5" customHeight="1">
      <c r="A61" s="143"/>
      <c r="B61" s="6" t="s">
        <v>130</v>
      </c>
      <c r="C61" s="6" t="s">
        <v>21</v>
      </c>
      <c r="D61" s="7" t="s">
        <v>47</v>
      </c>
      <c r="E61" s="8">
        <v>45051</v>
      </c>
      <c r="F61" s="7" t="s">
        <v>82</v>
      </c>
      <c r="G61" s="9">
        <v>4000000</v>
      </c>
      <c r="H61" s="10">
        <f t="shared" si="33"/>
        <v>760000</v>
      </c>
      <c r="I61" s="10">
        <f t="shared" si="34"/>
        <v>4760000</v>
      </c>
      <c r="J61" s="10">
        <f>G61*0.025</f>
        <v>100000</v>
      </c>
      <c r="K61" s="10">
        <f t="shared" si="35"/>
        <v>44160</v>
      </c>
      <c r="L61" s="10">
        <f t="shared" si="36"/>
        <v>114000</v>
      </c>
      <c r="M61" s="58">
        <v>74837</v>
      </c>
      <c r="N61" s="10">
        <f t="shared" si="37"/>
        <v>332997</v>
      </c>
      <c r="O61" s="10">
        <f t="shared" si="38"/>
        <v>4427003</v>
      </c>
      <c r="P61" s="57">
        <v>45086</v>
      </c>
      <c r="Q61" s="40" t="s">
        <v>24</v>
      </c>
      <c r="R61" s="9">
        <v>4427003</v>
      </c>
      <c r="S61" s="10">
        <f t="shared" si="39"/>
        <v>0</v>
      </c>
      <c r="T61" s="6" t="s">
        <v>112</v>
      </c>
    </row>
    <row r="62" spans="1:21">
      <c r="A62" s="143"/>
      <c r="B62" s="6" t="s">
        <v>131</v>
      </c>
      <c r="C62" s="6" t="s">
        <v>132</v>
      </c>
      <c r="D62" s="7" t="s">
        <v>133</v>
      </c>
      <c r="E62" s="8">
        <v>45055</v>
      </c>
      <c r="F62" s="7" t="s">
        <v>134</v>
      </c>
      <c r="G62" s="9">
        <v>1000</v>
      </c>
      <c r="H62" s="10">
        <f t="shared" si="33"/>
        <v>190</v>
      </c>
      <c r="I62" s="10">
        <f t="shared" si="34"/>
        <v>1190</v>
      </c>
      <c r="J62" s="10"/>
      <c r="K62" s="10"/>
      <c r="L62" s="10"/>
      <c r="M62" s="58">
        <v>0</v>
      </c>
      <c r="N62" s="10">
        <f t="shared" si="37"/>
        <v>0</v>
      </c>
      <c r="O62" s="10">
        <f t="shared" si="38"/>
        <v>1190</v>
      </c>
      <c r="P62" s="57">
        <v>45086</v>
      </c>
      <c r="Q62" s="40" t="s">
        <v>135</v>
      </c>
      <c r="R62" s="9">
        <v>1190</v>
      </c>
      <c r="S62" s="10">
        <f t="shared" si="39"/>
        <v>0</v>
      </c>
      <c r="T62" s="6" t="s">
        <v>112</v>
      </c>
    </row>
    <row r="63" spans="1:21" ht="16.5" customHeight="1">
      <c r="A63" s="143"/>
      <c r="B63" s="6" t="s">
        <v>136</v>
      </c>
      <c r="C63" s="6" t="s">
        <v>21</v>
      </c>
      <c r="D63" s="7" t="s">
        <v>47</v>
      </c>
      <c r="E63" s="8">
        <v>45065</v>
      </c>
      <c r="F63" s="7" t="s">
        <v>82</v>
      </c>
      <c r="G63" s="9">
        <v>4000000</v>
      </c>
      <c r="H63" s="10">
        <f t="shared" si="33"/>
        <v>760000</v>
      </c>
      <c r="I63" s="10">
        <f t="shared" si="34"/>
        <v>4760000</v>
      </c>
      <c r="J63" s="10">
        <f>G63*0.025</f>
        <v>100000</v>
      </c>
      <c r="K63" s="10">
        <f t="shared" si="35"/>
        <v>44160</v>
      </c>
      <c r="L63" s="10">
        <f t="shared" si="36"/>
        <v>114000</v>
      </c>
      <c r="M63" s="58">
        <v>37418</v>
      </c>
      <c r="N63" s="10">
        <f t="shared" si="37"/>
        <v>295578</v>
      </c>
      <c r="O63" s="10">
        <f t="shared" si="38"/>
        <v>4464422</v>
      </c>
      <c r="P63" s="57">
        <v>45100</v>
      </c>
      <c r="Q63" s="40" t="s">
        <v>24</v>
      </c>
      <c r="R63" s="9">
        <v>4464422</v>
      </c>
      <c r="S63" s="10">
        <f t="shared" si="39"/>
        <v>0</v>
      </c>
      <c r="T63" s="6" t="s">
        <v>112</v>
      </c>
    </row>
    <row r="64" spans="1:21">
      <c r="A64" s="143"/>
      <c r="B64" s="11"/>
      <c r="C64" s="11"/>
      <c r="D64" s="12"/>
      <c r="E64" s="13"/>
      <c r="F64" s="12"/>
      <c r="G64" s="14">
        <f>SUM(G56:G63)</f>
        <v>17561000</v>
      </c>
      <c r="H64" s="14">
        <f>SUM(H56:H63)</f>
        <v>3336590</v>
      </c>
      <c r="I64" s="14">
        <f t="shared" ref="I64:R64" si="40">SUM(I56:I63)</f>
        <v>20897590</v>
      </c>
      <c r="J64" s="14">
        <f t="shared" si="40"/>
        <v>377000</v>
      </c>
      <c r="K64" s="14">
        <f t="shared" si="40"/>
        <v>166483.20000000001</v>
      </c>
      <c r="L64" s="14">
        <f t="shared" si="40"/>
        <v>500460</v>
      </c>
      <c r="M64" s="15">
        <f t="shared" si="40"/>
        <v>183350</v>
      </c>
      <c r="N64" s="14">
        <f t="shared" si="40"/>
        <v>1227293.2</v>
      </c>
      <c r="O64" s="14">
        <f t="shared" si="40"/>
        <v>19670296.800000001</v>
      </c>
      <c r="P64" s="14">
        <f t="shared" si="40"/>
        <v>360779</v>
      </c>
      <c r="Q64" s="15">
        <f t="shared" si="40"/>
        <v>0</v>
      </c>
      <c r="R64" s="14">
        <f t="shared" si="40"/>
        <v>19670297</v>
      </c>
      <c r="S64" s="14">
        <f>SUM(S56:S63)</f>
        <v>-0.20000000018626451</v>
      </c>
      <c r="T64" s="15"/>
    </row>
    <row r="65" spans="1:22" ht="16.5" customHeight="1">
      <c r="E65" s="5"/>
      <c r="G65" s="2"/>
      <c r="H65" s="3"/>
      <c r="I65" s="3"/>
      <c r="J65" s="3"/>
      <c r="K65" s="3"/>
      <c r="L65" s="3"/>
      <c r="N65" s="3"/>
      <c r="O65" s="3"/>
      <c r="S65" s="3"/>
    </row>
    <row r="66" spans="1:22" ht="15" customHeight="1">
      <c r="A66" s="143" t="s">
        <v>137</v>
      </c>
      <c r="B66" s="6" t="s">
        <v>138</v>
      </c>
      <c r="C66" s="6" t="s">
        <v>94</v>
      </c>
      <c r="D66" s="7" t="s">
        <v>95</v>
      </c>
      <c r="E66" s="8">
        <v>45082</v>
      </c>
      <c r="F66" s="7" t="s">
        <v>96</v>
      </c>
      <c r="G66" s="9">
        <v>380000</v>
      </c>
      <c r="H66" s="10">
        <f t="shared" ref="H66:H76" si="41">G66*0.19</f>
        <v>72200</v>
      </c>
      <c r="I66" s="10">
        <f t="shared" ref="I66:I76" si="42">G66+H66</f>
        <v>452200</v>
      </c>
      <c r="J66" s="10">
        <f>G66*0.04</f>
        <v>15200</v>
      </c>
      <c r="K66" s="10">
        <f t="shared" ref="K66:K76" si="43">G66*11.04/1000</f>
        <v>4195.2</v>
      </c>
      <c r="L66" s="10">
        <f t="shared" ref="L66:L76" si="44">H66*0.15</f>
        <v>10830</v>
      </c>
      <c r="M66" s="58">
        <v>0</v>
      </c>
      <c r="N66" s="10">
        <f t="shared" ref="N66:N76" si="45">SUM(J66:M66)</f>
        <v>30225.200000000001</v>
      </c>
      <c r="O66" s="10">
        <f t="shared" ref="O66:O76" si="46">+I66-N66</f>
        <v>421974.8</v>
      </c>
      <c r="P66" s="57">
        <v>45112</v>
      </c>
      <c r="Q66" s="40" t="s">
        <v>24</v>
      </c>
      <c r="R66" s="9">
        <v>420566</v>
      </c>
      <c r="S66" s="10">
        <f t="shared" ref="S66:S76" si="47">+O66-R66</f>
        <v>1408.7999999999884</v>
      </c>
      <c r="T66" s="6" t="s">
        <v>25</v>
      </c>
    </row>
    <row r="67" spans="1:22" ht="16.5" customHeight="1">
      <c r="A67" s="143"/>
      <c r="B67" s="6" t="s">
        <v>139</v>
      </c>
      <c r="C67" s="6" t="s">
        <v>21</v>
      </c>
      <c r="D67" s="7" t="s">
        <v>47</v>
      </c>
      <c r="E67" s="8">
        <v>45082</v>
      </c>
      <c r="F67" s="7" t="s">
        <v>140</v>
      </c>
      <c r="G67" s="9">
        <v>3780000</v>
      </c>
      <c r="H67" s="10">
        <f t="shared" si="41"/>
        <v>718200</v>
      </c>
      <c r="I67" s="10">
        <f t="shared" si="42"/>
        <v>4498200</v>
      </c>
      <c r="J67" s="10">
        <f>G67*0.025</f>
        <v>94500</v>
      </c>
      <c r="K67" s="10">
        <f t="shared" si="43"/>
        <v>41731.199999999997</v>
      </c>
      <c r="L67" s="10">
        <f t="shared" si="44"/>
        <v>107730</v>
      </c>
      <c r="M67" s="58">
        <v>0</v>
      </c>
      <c r="N67" s="10">
        <f t="shared" si="45"/>
        <v>243961.2</v>
      </c>
      <c r="O67" s="10">
        <f t="shared" si="46"/>
        <v>4254238.8</v>
      </c>
      <c r="P67" s="57">
        <v>45135</v>
      </c>
      <c r="Q67" s="6" t="s">
        <v>24</v>
      </c>
      <c r="R67" s="9">
        <v>4254239</v>
      </c>
      <c r="S67" s="10">
        <f t="shared" si="47"/>
        <v>-0.20000000018626451</v>
      </c>
      <c r="T67" s="6" t="s">
        <v>25</v>
      </c>
    </row>
    <row r="68" spans="1:22" ht="16.5" customHeight="1">
      <c r="A68" s="143"/>
      <c r="B68" s="6" t="s">
        <v>141</v>
      </c>
      <c r="C68" s="6" t="s">
        <v>21</v>
      </c>
      <c r="D68" s="7" t="s">
        <v>47</v>
      </c>
      <c r="E68" s="8">
        <v>45082</v>
      </c>
      <c r="F68" s="7" t="s">
        <v>66</v>
      </c>
      <c r="G68" s="9">
        <v>600000</v>
      </c>
      <c r="H68" s="10">
        <f t="shared" si="41"/>
        <v>114000</v>
      </c>
      <c r="I68" s="10">
        <f t="shared" si="42"/>
        <v>714000</v>
      </c>
      <c r="J68" s="10">
        <f>G68*0.04</f>
        <v>24000</v>
      </c>
      <c r="K68" s="10">
        <f t="shared" si="43"/>
        <v>6623.9999999999991</v>
      </c>
      <c r="L68" s="10">
        <f t="shared" si="44"/>
        <v>17100</v>
      </c>
      <c r="M68" s="58">
        <v>0</v>
      </c>
      <c r="N68" s="10">
        <f t="shared" si="45"/>
        <v>47724</v>
      </c>
      <c r="O68" s="10">
        <f t="shared" si="46"/>
        <v>666276</v>
      </c>
      <c r="P68" s="57">
        <v>45149</v>
      </c>
      <c r="Q68" s="6" t="s">
        <v>24</v>
      </c>
      <c r="R68" s="9">
        <v>370776</v>
      </c>
      <c r="S68" s="59">
        <f t="shared" si="47"/>
        <v>295500</v>
      </c>
      <c r="T68" s="6" t="s">
        <v>25</v>
      </c>
      <c r="U68" t="s">
        <v>142</v>
      </c>
      <c r="V68" s="80" t="s">
        <v>143</v>
      </c>
    </row>
    <row r="69" spans="1:22">
      <c r="A69" s="143"/>
      <c r="B69" s="6" t="s">
        <v>144</v>
      </c>
      <c r="C69" s="6" t="s">
        <v>145</v>
      </c>
      <c r="D69" s="7" t="s">
        <v>146</v>
      </c>
      <c r="E69" s="8">
        <v>45082</v>
      </c>
      <c r="F69" s="7" t="s">
        <v>147</v>
      </c>
      <c r="G69" s="9">
        <v>2740000</v>
      </c>
      <c r="H69" s="10">
        <f t="shared" si="41"/>
        <v>520600</v>
      </c>
      <c r="I69" s="10">
        <f t="shared" si="42"/>
        <v>3260600</v>
      </c>
      <c r="J69" s="10">
        <f>G69*0.04</f>
        <v>109600</v>
      </c>
      <c r="K69" s="10">
        <f t="shared" si="43"/>
        <v>30249.599999999995</v>
      </c>
      <c r="L69" s="10">
        <f t="shared" si="44"/>
        <v>78090</v>
      </c>
      <c r="M69" s="58">
        <v>21476</v>
      </c>
      <c r="N69" s="10">
        <f t="shared" si="45"/>
        <v>239415.6</v>
      </c>
      <c r="O69" s="10">
        <f t="shared" si="46"/>
        <v>3021184.4</v>
      </c>
      <c r="P69" s="57">
        <v>45112</v>
      </c>
      <c r="Q69" s="6" t="s">
        <v>24</v>
      </c>
      <c r="R69" s="9">
        <v>3021184</v>
      </c>
      <c r="S69" s="10">
        <f t="shared" si="47"/>
        <v>0.39999999990686774</v>
      </c>
      <c r="T69" s="6" t="s">
        <v>25</v>
      </c>
    </row>
    <row r="70" spans="1:22" ht="16.5" customHeight="1">
      <c r="A70" s="143"/>
      <c r="B70" s="6" t="s">
        <v>148</v>
      </c>
      <c r="C70" s="6" t="s">
        <v>21</v>
      </c>
      <c r="D70" s="7" t="s">
        <v>47</v>
      </c>
      <c r="E70" s="8">
        <v>45086</v>
      </c>
      <c r="F70" s="7" t="s">
        <v>149</v>
      </c>
      <c r="G70" s="9">
        <v>2600000</v>
      </c>
      <c r="H70" s="10">
        <f t="shared" si="41"/>
        <v>494000</v>
      </c>
      <c r="I70" s="10">
        <f t="shared" si="42"/>
        <v>3094000</v>
      </c>
      <c r="J70" s="10"/>
      <c r="K70" s="10">
        <f t="shared" si="43"/>
        <v>28703.999999999996</v>
      </c>
      <c r="L70" s="10">
        <f t="shared" si="44"/>
        <v>74100</v>
      </c>
      <c r="M70" s="58">
        <v>0</v>
      </c>
      <c r="N70" s="10">
        <f t="shared" si="45"/>
        <v>102804</v>
      </c>
      <c r="O70" s="10">
        <f t="shared" si="46"/>
        <v>2991196</v>
      </c>
      <c r="P70" s="57">
        <v>45149</v>
      </c>
      <c r="Q70" s="6" t="s">
        <v>24</v>
      </c>
      <c r="R70" s="9">
        <v>2991196</v>
      </c>
      <c r="S70" s="10">
        <f t="shared" si="47"/>
        <v>0</v>
      </c>
      <c r="T70" s="6" t="s">
        <v>25</v>
      </c>
    </row>
    <row r="71" spans="1:22" ht="16.5" customHeight="1">
      <c r="A71" s="143"/>
      <c r="B71" s="6" t="s">
        <v>150</v>
      </c>
      <c r="C71" s="6" t="s">
        <v>21</v>
      </c>
      <c r="D71" s="7" t="s">
        <v>47</v>
      </c>
      <c r="E71" s="8">
        <v>45096</v>
      </c>
      <c r="F71" s="7" t="s">
        <v>151</v>
      </c>
      <c r="G71" s="9">
        <v>1750000</v>
      </c>
      <c r="H71" s="10">
        <f t="shared" si="41"/>
        <v>332500</v>
      </c>
      <c r="I71" s="10">
        <f t="shared" si="42"/>
        <v>2082500</v>
      </c>
      <c r="J71" s="10"/>
      <c r="K71" s="10">
        <f t="shared" si="43"/>
        <v>19320</v>
      </c>
      <c r="L71" s="10">
        <f t="shared" si="44"/>
        <v>49875</v>
      </c>
      <c r="M71" s="58">
        <v>0</v>
      </c>
      <c r="N71" s="10">
        <f t="shared" si="45"/>
        <v>69195</v>
      </c>
      <c r="O71" s="10">
        <f t="shared" si="46"/>
        <v>2013305</v>
      </c>
      <c r="P71" s="57">
        <v>45149</v>
      </c>
      <c r="Q71" s="6" t="s">
        <v>24</v>
      </c>
      <c r="R71" s="9">
        <v>2013305</v>
      </c>
      <c r="S71" s="10">
        <f t="shared" si="47"/>
        <v>0</v>
      </c>
      <c r="T71" s="6" t="s">
        <v>25</v>
      </c>
    </row>
    <row r="72" spans="1:22" ht="16.5" customHeight="1">
      <c r="A72" s="143"/>
      <c r="B72" s="6" t="s">
        <v>152</v>
      </c>
      <c r="C72" s="6" t="s">
        <v>21</v>
      </c>
      <c r="D72" s="7" t="s">
        <v>47</v>
      </c>
      <c r="E72" s="8">
        <v>45096</v>
      </c>
      <c r="F72" s="7" t="s">
        <v>153</v>
      </c>
      <c r="G72" s="9">
        <v>9000000</v>
      </c>
      <c r="H72" s="10">
        <f t="shared" si="41"/>
        <v>1710000</v>
      </c>
      <c r="I72" s="10">
        <f t="shared" si="42"/>
        <v>10710000</v>
      </c>
      <c r="J72" s="10"/>
      <c r="K72" s="10">
        <f t="shared" si="43"/>
        <v>99359.999999999985</v>
      </c>
      <c r="L72" s="10">
        <f t="shared" si="44"/>
        <v>256500</v>
      </c>
      <c r="M72" s="58">
        <v>0</v>
      </c>
      <c r="N72" s="10">
        <f t="shared" si="45"/>
        <v>355860</v>
      </c>
      <c r="O72" s="10">
        <f t="shared" si="46"/>
        <v>10354140</v>
      </c>
      <c r="P72" s="57">
        <v>45149</v>
      </c>
      <c r="Q72" s="6" t="s">
        <v>24</v>
      </c>
      <c r="R72" s="9">
        <v>10354140</v>
      </c>
      <c r="S72" s="10">
        <f t="shared" si="47"/>
        <v>0</v>
      </c>
      <c r="T72" s="6" t="s">
        <v>25</v>
      </c>
    </row>
    <row r="73" spans="1:22" ht="16.5" customHeight="1">
      <c r="A73" s="143"/>
      <c r="B73" s="6" t="s">
        <v>154</v>
      </c>
      <c r="C73" s="6" t="s">
        <v>21</v>
      </c>
      <c r="D73" s="7" t="s">
        <v>47</v>
      </c>
      <c r="E73" s="8">
        <v>45096</v>
      </c>
      <c r="F73" s="7" t="s">
        <v>153</v>
      </c>
      <c r="G73" s="9">
        <v>9000000</v>
      </c>
      <c r="H73" s="10">
        <f t="shared" si="41"/>
        <v>1710000</v>
      </c>
      <c r="I73" s="10">
        <f t="shared" si="42"/>
        <v>10710000</v>
      </c>
      <c r="J73" s="10"/>
      <c r="K73" s="10">
        <f t="shared" si="43"/>
        <v>99359.999999999985</v>
      </c>
      <c r="L73" s="10">
        <f t="shared" si="44"/>
        <v>256500</v>
      </c>
      <c r="M73" s="58">
        <v>0</v>
      </c>
      <c r="N73" s="10">
        <f t="shared" si="45"/>
        <v>355860</v>
      </c>
      <c r="O73" s="10">
        <f t="shared" si="46"/>
        <v>10354140</v>
      </c>
      <c r="P73" s="57">
        <v>45149</v>
      </c>
      <c r="Q73" s="6" t="s">
        <v>24</v>
      </c>
      <c r="R73" s="9">
        <v>10354140</v>
      </c>
      <c r="S73" s="10">
        <f t="shared" si="47"/>
        <v>0</v>
      </c>
      <c r="T73" s="6" t="s">
        <v>25</v>
      </c>
    </row>
    <row r="74" spans="1:22" ht="16.5" customHeight="1">
      <c r="A74" s="143"/>
      <c r="B74" s="6" t="s">
        <v>155</v>
      </c>
      <c r="C74" s="6" t="s">
        <v>21</v>
      </c>
      <c r="D74" s="7" t="s">
        <v>47</v>
      </c>
      <c r="E74" s="8">
        <v>45096</v>
      </c>
      <c r="F74" s="7" t="s">
        <v>153</v>
      </c>
      <c r="G74" s="9">
        <v>9000000</v>
      </c>
      <c r="H74" s="10">
        <f t="shared" si="41"/>
        <v>1710000</v>
      </c>
      <c r="I74" s="10">
        <f t="shared" si="42"/>
        <v>10710000</v>
      </c>
      <c r="J74" s="10"/>
      <c r="K74" s="10">
        <f t="shared" si="43"/>
        <v>99359.999999999985</v>
      </c>
      <c r="L74" s="10">
        <f t="shared" si="44"/>
        <v>256500</v>
      </c>
      <c r="M74" s="58">
        <v>0</v>
      </c>
      <c r="N74" s="10">
        <f t="shared" si="45"/>
        <v>355860</v>
      </c>
      <c r="O74" s="10">
        <f t="shared" si="46"/>
        <v>10354140</v>
      </c>
      <c r="P74" s="57">
        <v>45149</v>
      </c>
      <c r="Q74" s="6" t="s">
        <v>24</v>
      </c>
      <c r="R74" s="9">
        <v>10354140</v>
      </c>
      <c r="S74" s="10">
        <f t="shared" si="47"/>
        <v>0</v>
      </c>
      <c r="T74" s="6" t="s">
        <v>25</v>
      </c>
    </row>
    <row r="75" spans="1:22" ht="16.5" customHeight="1">
      <c r="A75" s="143"/>
      <c r="B75" s="6" t="s">
        <v>156</v>
      </c>
      <c r="C75" s="6" t="s">
        <v>21</v>
      </c>
      <c r="D75" s="7" t="s">
        <v>47</v>
      </c>
      <c r="E75" s="8">
        <v>45097</v>
      </c>
      <c r="F75" s="7" t="s">
        <v>157</v>
      </c>
      <c r="G75" s="9">
        <v>1450000</v>
      </c>
      <c r="H75" s="10">
        <f t="shared" si="41"/>
        <v>275500</v>
      </c>
      <c r="I75" s="10">
        <f t="shared" si="42"/>
        <v>1725500</v>
      </c>
      <c r="J75" s="10">
        <f>G75*0.025</f>
        <v>36250</v>
      </c>
      <c r="K75" s="10">
        <f t="shared" si="43"/>
        <v>16007.999999999998</v>
      </c>
      <c r="L75" s="10">
        <f t="shared" si="44"/>
        <v>41325</v>
      </c>
      <c r="M75" s="58">
        <v>27128</v>
      </c>
      <c r="N75" s="10">
        <f t="shared" si="45"/>
        <v>120711</v>
      </c>
      <c r="O75" s="10">
        <f t="shared" si="46"/>
        <v>1604789</v>
      </c>
      <c r="P75" s="57">
        <v>45121</v>
      </c>
      <c r="Q75" s="6" t="s">
        <v>24</v>
      </c>
      <c r="R75" s="9">
        <v>1604789</v>
      </c>
      <c r="S75" s="10">
        <f t="shared" si="47"/>
        <v>0</v>
      </c>
      <c r="T75" s="6" t="s">
        <v>25</v>
      </c>
    </row>
    <row r="76" spans="1:22" ht="16.5" customHeight="1">
      <c r="A76" s="143"/>
      <c r="B76" s="6" t="s">
        <v>158</v>
      </c>
      <c r="C76" s="6" t="s">
        <v>21</v>
      </c>
      <c r="D76" s="7" t="s">
        <v>47</v>
      </c>
      <c r="E76" s="8">
        <v>45097</v>
      </c>
      <c r="F76" s="7" t="s">
        <v>159</v>
      </c>
      <c r="G76" s="9">
        <v>630000</v>
      </c>
      <c r="H76" s="10">
        <f t="shared" si="41"/>
        <v>119700</v>
      </c>
      <c r="I76" s="10">
        <f t="shared" si="42"/>
        <v>749700</v>
      </c>
      <c r="J76" s="10">
        <f>G76*0.025</f>
        <v>15750</v>
      </c>
      <c r="K76" s="10">
        <f t="shared" si="43"/>
        <v>6955.1999999999989</v>
      </c>
      <c r="L76" s="10">
        <f t="shared" si="44"/>
        <v>17955</v>
      </c>
      <c r="M76" s="58">
        <v>0</v>
      </c>
      <c r="N76" s="10">
        <f t="shared" si="45"/>
        <v>40660.199999999997</v>
      </c>
      <c r="O76" s="10">
        <f t="shared" si="46"/>
        <v>709039.8</v>
      </c>
      <c r="P76" s="57">
        <v>45149</v>
      </c>
      <c r="Q76" s="6" t="s">
        <v>24</v>
      </c>
      <c r="R76" s="9">
        <v>709040</v>
      </c>
      <c r="S76" s="10">
        <f t="shared" si="47"/>
        <v>-0.19999999995343387</v>
      </c>
      <c r="T76" s="6" t="s">
        <v>25</v>
      </c>
    </row>
    <row r="77" spans="1:22">
      <c r="A77" s="143"/>
      <c r="B77" s="11"/>
      <c r="C77" s="11"/>
      <c r="D77" s="12"/>
      <c r="E77" s="13"/>
      <c r="F77" s="12"/>
      <c r="G77" s="14">
        <f>SUM(G66:G76)</f>
        <v>40930000</v>
      </c>
      <c r="H77" s="14">
        <f>SUM(H66:H76)</f>
        <v>7776700</v>
      </c>
      <c r="I77" s="14">
        <f t="shared" ref="I77:R77" si="48">SUM(I66:I76)</f>
        <v>48706700</v>
      </c>
      <c r="J77" s="14">
        <f t="shared" si="48"/>
        <v>295300</v>
      </c>
      <c r="K77" s="14">
        <f t="shared" si="48"/>
        <v>451867.19999999995</v>
      </c>
      <c r="L77" s="14">
        <f t="shared" si="48"/>
        <v>1166505</v>
      </c>
      <c r="M77" s="15">
        <f t="shared" si="48"/>
        <v>48604</v>
      </c>
      <c r="N77" s="14">
        <f t="shared" si="48"/>
        <v>1962276.2</v>
      </c>
      <c r="O77" s="14">
        <f t="shared" si="48"/>
        <v>46744423.799999997</v>
      </c>
      <c r="P77" s="14">
        <f t="shared" si="48"/>
        <v>496523</v>
      </c>
      <c r="Q77" s="15">
        <f t="shared" si="48"/>
        <v>0</v>
      </c>
      <c r="R77" s="14">
        <f t="shared" si="48"/>
        <v>46447515</v>
      </c>
      <c r="S77" s="14">
        <f>SUM(S66:S76)</f>
        <v>296908.79999999976</v>
      </c>
      <c r="T77" s="15"/>
    </row>
    <row r="78" spans="1:22" ht="16.5" customHeight="1">
      <c r="E78" s="5"/>
      <c r="G78" s="2"/>
      <c r="H78" s="3"/>
      <c r="I78" s="3"/>
      <c r="J78" s="3"/>
      <c r="K78" s="3"/>
      <c r="L78" s="3"/>
      <c r="N78" s="3"/>
      <c r="O78" s="3"/>
      <c r="S78" s="3"/>
    </row>
    <row r="79" spans="1:22" ht="16.5" customHeight="1">
      <c r="A79" s="143" t="s">
        <v>160</v>
      </c>
      <c r="B79" s="6" t="s">
        <v>161</v>
      </c>
      <c r="C79" s="6" t="s">
        <v>21</v>
      </c>
      <c r="D79" s="7" t="s">
        <v>47</v>
      </c>
      <c r="E79" s="8">
        <v>45108</v>
      </c>
      <c r="F79" s="7" t="s">
        <v>162</v>
      </c>
      <c r="G79" s="9">
        <v>3770000</v>
      </c>
      <c r="H79" s="10">
        <f>G79*0.19</f>
        <v>716300</v>
      </c>
      <c r="I79" s="10">
        <f>G79+H79</f>
        <v>4486300</v>
      </c>
      <c r="J79" s="10"/>
      <c r="K79" s="10">
        <f>G79*11.04/1000</f>
        <v>41620.800000000003</v>
      </c>
      <c r="L79" s="10">
        <f>H79*0.15</f>
        <v>107445</v>
      </c>
      <c r="M79" s="58">
        <v>0</v>
      </c>
      <c r="N79" s="10">
        <f>SUM(J79:M79)</f>
        <v>149065.79999999999</v>
      </c>
      <c r="O79" s="10">
        <f>+I79-N79</f>
        <v>4337234.2</v>
      </c>
      <c r="P79" s="57">
        <v>45149</v>
      </c>
      <c r="Q79" s="6" t="s">
        <v>24</v>
      </c>
      <c r="R79" s="9">
        <v>4337234</v>
      </c>
      <c r="S79" s="10">
        <f>+O79-R79</f>
        <v>0.20000000018626451</v>
      </c>
      <c r="T79" s="6" t="s">
        <v>25</v>
      </c>
    </row>
    <row r="80" spans="1:22" ht="16.5" customHeight="1">
      <c r="A80" s="143"/>
      <c r="B80" s="6" t="s">
        <v>163</v>
      </c>
      <c r="C80" s="6" t="s">
        <v>21</v>
      </c>
      <c r="D80" s="7" t="s">
        <v>47</v>
      </c>
      <c r="E80" s="8">
        <v>45108</v>
      </c>
      <c r="F80" s="7" t="s">
        <v>164</v>
      </c>
      <c r="G80" s="9">
        <v>3300000</v>
      </c>
      <c r="H80" s="10">
        <f>G80*0.19</f>
        <v>627000</v>
      </c>
      <c r="I80" s="10">
        <f>G80+H80</f>
        <v>3927000</v>
      </c>
      <c r="J80" s="10">
        <f>G80*0.025</f>
        <v>82500</v>
      </c>
      <c r="K80" s="10">
        <f>G80*11.04/1000</f>
        <v>36432</v>
      </c>
      <c r="L80" s="10">
        <f>H80*0.15</f>
        <v>94050</v>
      </c>
      <c r="M80" s="58">
        <v>30870</v>
      </c>
      <c r="N80" s="10">
        <f>SUM(J80:M80)</f>
        <v>243852</v>
      </c>
      <c r="O80" s="10">
        <f>+I80-N80</f>
        <v>3683148</v>
      </c>
      <c r="P80" s="57">
        <v>45142</v>
      </c>
      <c r="Q80" s="6" t="s">
        <v>24</v>
      </c>
      <c r="R80" s="9">
        <v>3683148</v>
      </c>
      <c r="S80" s="10">
        <f>+O80-R80</f>
        <v>0</v>
      </c>
      <c r="T80" s="6" t="s">
        <v>25</v>
      </c>
    </row>
    <row r="81" spans="1:33" ht="16.5" customHeight="1">
      <c r="A81" s="143"/>
      <c r="B81" s="6" t="s">
        <v>165</v>
      </c>
      <c r="C81" s="6" t="s">
        <v>21</v>
      </c>
      <c r="D81" s="7" t="s">
        <v>47</v>
      </c>
      <c r="E81" s="8">
        <v>45108</v>
      </c>
      <c r="F81" s="7" t="s">
        <v>166</v>
      </c>
      <c r="G81" s="9">
        <v>7300000</v>
      </c>
      <c r="H81" s="10">
        <f>G81*0.19</f>
        <v>1387000</v>
      </c>
      <c r="I81" s="10">
        <f>G81+H81</f>
        <v>8687000</v>
      </c>
      <c r="J81" s="10"/>
      <c r="K81" s="10">
        <f>G81*11.04/1000</f>
        <v>80592</v>
      </c>
      <c r="L81" s="10">
        <f>H81*0.15</f>
        <v>208050</v>
      </c>
      <c r="M81" s="58">
        <v>0</v>
      </c>
      <c r="N81" s="10">
        <f>SUM(J81:M81)</f>
        <v>288642</v>
      </c>
      <c r="O81" s="10">
        <f>+I81-N81</f>
        <v>8398358</v>
      </c>
      <c r="P81" s="57">
        <v>45149</v>
      </c>
      <c r="Q81" s="6" t="s">
        <v>24</v>
      </c>
      <c r="R81" s="9">
        <v>8398358</v>
      </c>
      <c r="S81" s="10">
        <f>+O81-R81</f>
        <v>0</v>
      </c>
      <c r="T81" s="6" t="s">
        <v>25</v>
      </c>
    </row>
    <row r="82" spans="1:33">
      <c r="A82" s="143"/>
      <c r="B82" s="6" t="s">
        <v>167</v>
      </c>
      <c r="C82" s="6" t="s">
        <v>168</v>
      </c>
      <c r="D82" s="7" t="s">
        <v>169</v>
      </c>
      <c r="E82" s="8">
        <v>45124</v>
      </c>
      <c r="F82" s="7" t="s">
        <v>170</v>
      </c>
      <c r="G82" s="9">
        <v>240000</v>
      </c>
      <c r="H82" s="10">
        <f>G82*0.19</f>
        <v>45600</v>
      </c>
      <c r="I82" s="10">
        <f>G82+H82</f>
        <v>285600</v>
      </c>
      <c r="J82" s="10"/>
      <c r="K82" s="10"/>
      <c r="L82" s="10"/>
      <c r="M82" s="58">
        <v>0</v>
      </c>
      <c r="N82" s="10">
        <f>SUM(J82:M82)</f>
        <v>0</v>
      </c>
      <c r="O82" s="10">
        <f>+I82-N82</f>
        <v>285600</v>
      </c>
      <c r="P82" s="7"/>
      <c r="Q82" s="6"/>
      <c r="R82" s="9"/>
      <c r="S82" s="10">
        <f>+O82-R82</f>
        <v>285600</v>
      </c>
      <c r="T82" s="6"/>
    </row>
    <row r="83" spans="1:33">
      <c r="A83" s="143"/>
      <c r="B83" s="11"/>
      <c r="C83" s="11"/>
      <c r="D83" s="12"/>
      <c r="E83" s="13"/>
      <c r="F83" s="12"/>
      <c r="G83" s="14">
        <f>SUM(G79:G82)</f>
        <v>14610000</v>
      </c>
      <c r="H83" s="14">
        <f t="shared" ref="H83:R83" si="49">SUM(H79:H82)</f>
        <v>2775900</v>
      </c>
      <c r="I83" s="14">
        <f>SUM(I79:I82)</f>
        <v>17385900</v>
      </c>
      <c r="J83" s="14">
        <f t="shared" si="49"/>
        <v>82500</v>
      </c>
      <c r="K83" s="14">
        <f t="shared" si="49"/>
        <v>158644.79999999999</v>
      </c>
      <c r="L83" s="14">
        <f t="shared" si="49"/>
        <v>409545</v>
      </c>
      <c r="M83" s="15">
        <f t="shared" si="49"/>
        <v>30870</v>
      </c>
      <c r="N83" s="14">
        <f t="shared" si="49"/>
        <v>681559.8</v>
      </c>
      <c r="O83" s="14">
        <f>SUM(O79:O82)</f>
        <v>16704340.199999999</v>
      </c>
      <c r="P83" s="14">
        <f t="shared" si="49"/>
        <v>135440</v>
      </c>
      <c r="Q83" s="15">
        <f t="shared" si="49"/>
        <v>0</v>
      </c>
      <c r="R83" s="14">
        <f t="shared" si="49"/>
        <v>16418740</v>
      </c>
      <c r="S83" s="14">
        <f>SUM(S79:S82)</f>
        <v>285600.20000000019</v>
      </c>
      <c r="T83" s="15"/>
    </row>
    <row r="84" spans="1:33">
      <c r="A84" s="4"/>
      <c r="E84" s="5"/>
      <c r="G84" s="2"/>
      <c r="H84" s="3"/>
      <c r="I84" s="3"/>
      <c r="J84" s="3"/>
      <c r="K84" s="3"/>
      <c r="L84" s="3"/>
      <c r="N84" s="3"/>
      <c r="O84" s="3"/>
      <c r="S84" s="3"/>
    </row>
    <row r="85" spans="1:33" ht="15" customHeight="1">
      <c r="A85" s="143" t="s">
        <v>171</v>
      </c>
      <c r="B85" s="6" t="s">
        <v>172</v>
      </c>
      <c r="C85" s="6" t="s">
        <v>173</v>
      </c>
      <c r="D85" s="7" t="s">
        <v>174</v>
      </c>
      <c r="E85" s="8">
        <v>45144</v>
      </c>
      <c r="F85" s="7" t="s">
        <v>147</v>
      </c>
      <c r="G85" s="9">
        <v>2735005</v>
      </c>
      <c r="H85" s="10">
        <f t="shared" ref="H85:H96" si="50">G85*0.19</f>
        <v>519650.95</v>
      </c>
      <c r="I85" s="10">
        <f t="shared" ref="I85:I96" si="51">G85+H85</f>
        <v>3254655.95</v>
      </c>
      <c r="J85" s="10">
        <f t="shared" ref="J85:J92" si="52">G85*0.025</f>
        <v>68375.125</v>
      </c>
      <c r="K85" s="10">
        <f t="shared" ref="K85:K96" si="53">G85*11.04/1000</f>
        <v>30194.4552</v>
      </c>
      <c r="L85" s="10">
        <f t="shared" ref="L85:L96" si="54">H85*0.15</f>
        <v>77947.642500000002</v>
      </c>
      <c r="M85" s="58">
        <v>51170</v>
      </c>
      <c r="N85" s="10">
        <f t="shared" ref="N85:N96" si="55">SUM(J85:M85)</f>
        <v>227687.22269999998</v>
      </c>
      <c r="O85" s="10">
        <f t="shared" ref="O85:O96" si="56">+I85-N85</f>
        <v>3026968.7273000004</v>
      </c>
      <c r="P85" s="57">
        <v>45184</v>
      </c>
      <c r="Q85" s="6" t="s">
        <v>24</v>
      </c>
      <c r="R85" s="9">
        <v>3026969</v>
      </c>
      <c r="S85" s="10">
        <f t="shared" ref="S85:S96" si="57">+O85-R85</f>
        <v>-0.27269999962300062</v>
      </c>
      <c r="T85" s="6" t="s">
        <v>25</v>
      </c>
      <c r="W85" s="82"/>
    </row>
    <row r="86" spans="1:33" ht="16.5" customHeight="1">
      <c r="A86" s="143"/>
      <c r="B86" s="6" t="s">
        <v>175</v>
      </c>
      <c r="C86" s="6" t="s">
        <v>21</v>
      </c>
      <c r="D86" s="7" t="s">
        <v>47</v>
      </c>
      <c r="E86" s="8">
        <v>45147</v>
      </c>
      <c r="F86" s="7" t="s">
        <v>176</v>
      </c>
      <c r="G86" s="9">
        <v>300000</v>
      </c>
      <c r="H86" s="10">
        <f t="shared" si="50"/>
        <v>57000</v>
      </c>
      <c r="I86" s="10">
        <f t="shared" si="51"/>
        <v>357000</v>
      </c>
      <c r="J86" s="10">
        <f t="shared" si="52"/>
        <v>7500</v>
      </c>
      <c r="K86" s="10">
        <f>G86*11.04/1000</f>
        <v>3311.9999999999995</v>
      </c>
      <c r="L86" s="10">
        <f t="shared" si="54"/>
        <v>8550</v>
      </c>
      <c r="M86" s="58">
        <v>0</v>
      </c>
      <c r="N86" s="10">
        <f t="shared" si="55"/>
        <v>19362</v>
      </c>
      <c r="O86" s="10">
        <f t="shared" si="56"/>
        <v>337638</v>
      </c>
      <c r="P86" s="57">
        <v>45191</v>
      </c>
      <c r="Q86" s="6" t="s">
        <v>24</v>
      </c>
      <c r="R86" s="9">
        <v>337638</v>
      </c>
      <c r="S86" s="10">
        <f t="shared" si="57"/>
        <v>0</v>
      </c>
      <c r="T86" s="81" t="s">
        <v>25</v>
      </c>
      <c r="V86" s="70" t="s">
        <v>177</v>
      </c>
      <c r="W86" s="83" t="s">
        <v>178</v>
      </c>
      <c r="X86" s="70" t="s">
        <v>179</v>
      </c>
      <c r="Y86" s="70" t="s">
        <v>180</v>
      </c>
      <c r="Z86" s="70" t="s">
        <v>181</v>
      </c>
      <c r="AA86" s="70" t="s">
        <v>182</v>
      </c>
      <c r="AB86" s="70" t="s">
        <v>183</v>
      </c>
      <c r="AC86" s="70" t="s">
        <v>184</v>
      </c>
      <c r="AD86" s="83" t="s">
        <v>185</v>
      </c>
      <c r="AE86" s="83" t="s">
        <v>186</v>
      </c>
      <c r="AF86" s="70" t="s">
        <v>187</v>
      </c>
      <c r="AG86" s="70" t="s">
        <v>188</v>
      </c>
    </row>
    <row r="87" spans="1:33" ht="16.5" customHeight="1">
      <c r="A87" s="143"/>
      <c r="B87" s="6" t="s">
        <v>189</v>
      </c>
      <c r="C87" s="6" t="s">
        <v>21</v>
      </c>
      <c r="D87" s="7" t="s">
        <v>47</v>
      </c>
      <c r="E87" s="8">
        <v>45150</v>
      </c>
      <c r="F87" s="7" t="s">
        <v>190</v>
      </c>
      <c r="G87" s="9">
        <v>840000</v>
      </c>
      <c r="H87" s="10">
        <f t="shared" si="50"/>
        <v>159600</v>
      </c>
      <c r="I87" s="10">
        <f t="shared" si="51"/>
        <v>999600</v>
      </c>
      <c r="J87" s="10">
        <f t="shared" si="52"/>
        <v>21000</v>
      </c>
      <c r="K87" s="10">
        <f t="shared" si="53"/>
        <v>9273.6</v>
      </c>
      <c r="L87" s="10">
        <f t="shared" si="54"/>
        <v>23940</v>
      </c>
      <c r="M87" s="58">
        <v>0</v>
      </c>
      <c r="N87" s="10">
        <f t="shared" si="55"/>
        <v>54213.599999999999</v>
      </c>
      <c r="O87" s="10">
        <f t="shared" si="56"/>
        <v>945386.4</v>
      </c>
      <c r="P87" s="57">
        <v>45205</v>
      </c>
      <c r="Q87" s="6" t="s">
        <v>24</v>
      </c>
      <c r="R87" s="9">
        <v>945386</v>
      </c>
      <c r="S87" s="10">
        <f t="shared" si="57"/>
        <v>0.40000000002328306</v>
      </c>
      <c r="T87" s="6" t="s">
        <v>25</v>
      </c>
      <c r="V87" s="77" t="s">
        <v>191</v>
      </c>
      <c r="W87" s="76" t="s">
        <v>192</v>
      </c>
      <c r="X87" s="57">
        <v>45139</v>
      </c>
      <c r="Y87" s="9">
        <v>423050</v>
      </c>
      <c r="Z87" s="9"/>
      <c r="AA87" s="9">
        <f>Y87+Z87</f>
        <v>423050</v>
      </c>
      <c r="AB87" s="9">
        <v>0</v>
      </c>
      <c r="AC87" s="9">
        <v>0</v>
      </c>
      <c r="AD87" s="9">
        <v>0</v>
      </c>
      <c r="AE87" s="9">
        <v>0</v>
      </c>
      <c r="AF87" s="9">
        <f>+AA87-AB87-AC87-AD87-AE87</f>
        <v>423050</v>
      </c>
      <c r="AG87" s="71">
        <v>0</v>
      </c>
    </row>
    <row r="88" spans="1:33" ht="16.5" customHeight="1">
      <c r="A88" s="143"/>
      <c r="B88" s="6" t="s">
        <v>193</v>
      </c>
      <c r="C88" s="6" t="s">
        <v>21</v>
      </c>
      <c r="D88" s="7" t="s">
        <v>47</v>
      </c>
      <c r="E88" s="8">
        <v>45150</v>
      </c>
      <c r="F88" s="7" t="s">
        <v>190</v>
      </c>
      <c r="G88" s="9">
        <v>868000</v>
      </c>
      <c r="H88" s="10">
        <f t="shared" si="50"/>
        <v>164920</v>
      </c>
      <c r="I88" s="10">
        <f t="shared" si="51"/>
        <v>1032920</v>
      </c>
      <c r="J88" s="10">
        <f t="shared" si="52"/>
        <v>21700</v>
      </c>
      <c r="K88" s="10">
        <f t="shared" si="53"/>
        <v>9582.7199999999993</v>
      </c>
      <c r="L88" s="10">
        <f t="shared" si="54"/>
        <v>24738</v>
      </c>
      <c r="M88" s="58">
        <v>0</v>
      </c>
      <c r="N88" s="10">
        <f t="shared" si="55"/>
        <v>56020.72</v>
      </c>
      <c r="O88" s="10">
        <f t="shared" si="56"/>
        <v>976899.28</v>
      </c>
      <c r="P88" s="57">
        <v>45205</v>
      </c>
      <c r="Q88" s="6" t="s">
        <v>24</v>
      </c>
      <c r="R88" s="9">
        <v>976899</v>
      </c>
      <c r="S88" s="10">
        <f t="shared" si="57"/>
        <v>0.28000000002793968</v>
      </c>
      <c r="T88" s="6" t="s">
        <v>25</v>
      </c>
      <c r="V88" s="77" t="s">
        <v>191</v>
      </c>
      <c r="W88" s="77" t="s">
        <v>175</v>
      </c>
      <c r="X88" s="57">
        <v>45147</v>
      </c>
      <c r="Y88" s="9">
        <v>300000</v>
      </c>
      <c r="Z88" s="10">
        <f>Y88*0.19</f>
        <v>57000</v>
      </c>
      <c r="AA88" s="10">
        <f>Y88+Z88</f>
        <v>357000</v>
      </c>
      <c r="AB88" s="9">
        <f>Z88*0.15</f>
        <v>8550</v>
      </c>
      <c r="AC88" s="9">
        <f>Y88*11.04/1000</f>
        <v>3311.9999999999995</v>
      </c>
      <c r="AD88" s="10">
        <f>Y88*0.025</f>
        <v>7500</v>
      </c>
      <c r="AE88" s="9">
        <v>0</v>
      </c>
      <c r="AF88" s="9">
        <f>+AA88-AB88-AC88-AD88</f>
        <v>337638</v>
      </c>
      <c r="AG88" s="71">
        <v>0</v>
      </c>
    </row>
    <row r="89" spans="1:33" ht="16.5" customHeight="1">
      <c r="A89" s="143"/>
      <c r="B89" s="6" t="s">
        <v>194</v>
      </c>
      <c r="C89" s="6" t="s">
        <v>21</v>
      </c>
      <c r="D89" s="7" t="s">
        <v>47</v>
      </c>
      <c r="E89" s="8">
        <v>45150</v>
      </c>
      <c r="F89" s="7" t="s">
        <v>190</v>
      </c>
      <c r="G89" s="9">
        <v>60000</v>
      </c>
      <c r="H89" s="10">
        <f t="shared" si="50"/>
        <v>11400</v>
      </c>
      <c r="I89" s="10">
        <f t="shared" si="51"/>
        <v>71400</v>
      </c>
      <c r="J89" s="10">
        <f t="shared" si="52"/>
        <v>1500</v>
      </c>
      <c r="K89" s="10">
        <f t="shared" si="53"/>
        <v>662.4</v>
      </c>
      <c r="L89" s="10">
        <f t="shared" si="54"/>
        <v>1710</v>
      </c>
      <c r="M89" s="58">
        <v>0</v>
      </c>
      <c r="N89" s="10">
        <f t="shared" si="55"/>
        <v>3872.4</v>
      </c>
      <c r="O89" s="10">
        <f t="shared" si="56"/>
        <v>67527.600000000006</v>
      </c>
      <c r="P89" s="57">
        <v>45205</v>
      </c>
      <c r="Q89" s="6" t="s">
        <v>24</v>
      </c>
      <c r="R89" s="9">
        <v>67528</v>
      </c>
      <c r="S89" s="10">
        <f t="shared" si="57"/>
        <v>-0.39999999999417923</v>
      </c>
      <c r="T89" s="6" t="s">
        <v>25</v>
      </c>
      <c r="V89" s="77" t="s">
        <v>191</v>
      </c>
      <c r="W89" s="77" t="s">
        <v>195</v>
      </c>
      <c r="X89" s="57">
        <v>45156</v>
      </c>
      <c r="Y89" s="9">
        <v>4000000</v>
      </c>
      <c r="Z89" s="10">
        <f>Y89*0.19</f>
        <v>760000</v>
      </c>
      <c r="AA89" s="10">
        <f>Y89+Z89</f>
        <v>4760000</v>
      </c>
      <c r="AB89" s="9">
        <f>Z89*0.15</f>
        <v>114000</v>
      </c>
      <c r="AC89" s="9">
        <v>22080</v>
      </c>
      <c r="AD89" s="10">
        <f>Y89*0.025</f>
        <v>100000</v>
      </c>
      <c r="AE89" s="58">
        <v>37639</v>
      </c>
      <c r="AF89" s="9">
        <f>+AA89-AB89-AC89-AD89-AE89</f>
        <v>4486281</v>
      </c>
      <c r="AG89" s="71">
        <v>0</v>
      </c>
    </row>
    <row r="90" spans="1:33" ht="16.5" customHeight="1">
      <c r="A90" s="143"/>
      <c r="B90" s="6" t="s">
        <v>195</v>
      </c>
      <c r="C90" s="6" t="s">
        <v>21</v>
      </c>
      <c r="D90" s="7" t="s">
        <v>47</v>
      </c>
      <c r="E90" s="8">
        <v>45156</v>
      </c>
      <c r="F90" s="7" t="s">
        <v>82</v>
      </c>
      <c r="G90" s="9">
        <v>4000000</v>
      </c>
      <c r="H90" s="10">
        <f t="shared" si="50"/>
        <v>760000</v>
      </c>
      <c r="I90" s="10">
        <f t="shared" si="51"/>
        <v>4760000</v>
      </c>
      <c r="J90" s="10">
        <f t="shared" si="52"/>
        <v>100000</v>
      </c>
      <c r="K90" s="69">
        <v>22080</v>
      </c>
      <c r="L90" s="10">
        <f t="shared" si="54"/>
        <v>114000</v>
      </c>
      <c r="M90" s="58">
        <v>37639</v>
      </c>
      <c r="N90" s="10">
        <f t="shared" si="55"/>
        <v>273719</v>
      </c>
      <c r="O90" s="10">
        <f t="shared" si="56"/>
        <v>4486281</v>
      </c>
      <c r="P90" s="57">
        <v>45191</v>
      </c>
      <c r="Q90" s="6" t="s">
        <v>24</v>
      </c>
      <c r="R90" s="9">
        <v>4486281</v>
      </c>
      <c r="S90" s="10">
        <f t="shared" si="57"/>
        <v>0</v>
      </c>
      <c r="T90" s="81" t="s">
        <v>25</v>
      </c>
      <c r="U90" s="3"/>
      <c r="V90" s="77" t="s">
        <v>191</v>
      </c>
      <c r="W90" s="77" t="s">
        <v>196</v>
      </c>
      <c r="X90" s="57">
        <v>45156</v>
      </c>
      <c r="Y90" s="9">
        <v>6720000</v>
      </c>
      <c r="Z90" s="10">
        <f>Y90*0.19</f>
        <v>1276800</v>
      </c>
      <c r="AA90" s="10">
        <f>Y90+Z90</f>
        <v>7996800</v>
      </c>
      <c r="AB90" s="9">
        <f>Z90*0.15</f>
        <v>191520</v>
      </c>
      <c r="AC90" s="9">
        <f>Y90*11.04/1000</f>
        <v>74188.800000000003</v>
      </c>
      <c r="AD90" s="10">
        <f>Y90*0.025</f>
        <v>168000</v>
      </c>
      <c r="AE90" s="58">
        <v>125726</v>
      </c>
      <c r="AF90" s="9">
        <f>+AA90-AB90-AC90-AD90-AE90</f>
        <v>7437365.2000000002</v>
      </c>
      <c r="AG90" s="71">
        <v>0</v>
      </c>
    </row>
    <row r="91" spans="1:33" ht="16.5" customHeight="1">
      <c r="A91" s="143"/>
      <c r="B91" s="6" t="s">
        <v>196</v>
      </c>
      <c r="C91" s="6" t="s">
        <v>21</v>
      </c>
      <c r="D91" s="7" t="s">
        <v>47</v>
      </c>
      <c r="E91" s="8">
        <v>45156</v>
      </c>
      <c r="F91" s="7" t="s">
        <v>197</v>
      </c>
      <c r="G91" s="9">
        <v>6720000</v>
      </c>
      <c r="H91" s="10">
        <f t="shared" si="50"/>
        <v>1276800</v>
      </c>
      <c r="I91" s="10">
        <f t="shared" si="51"/>
        <v>7996800</v>
      </c>
      <c r="J91" s="10">
        <f t="shared" si="52"/>
        <v>168000</v>
      </c>
      <c r="K91" s="10">
        <f t="shared" si="53"/>
        <v>74188.800000000003</v>
      </c>
      <c r="L91" s="10">
        <f t="shared" si="54"/>
        <v>191520</v>
      </c>
      <c r="M91" s="58">
        <v>125726</v>
      </c>
      <c r="N91" s="10">
        <f t="shared" si="55"/>
        <v>559434.80000000005</v>
      </c>
      <c r="O91" s="10">
        <f t="shared" si="56"/>
        <v>7437365.2000000002</v>
      </c>
      <c r="P91" s="57">
        <v>45191</v>
      </c>
      <c r="Q91" s="6" t="s">
        <v>24</v>
      </c>
      <c r="R91" s="9">
        <v>7437365</v>
      </c>
      <c r="S91" s="10">
        <f t="shared" si="57"/>
        <v>0.20000000018626451</v>
      </c>
      <c r="T91" s="81" t="s">
        <v>25</v>
      </c>
      <c r="V91" s="72" t="s">
        <v>198</v>
      </c>
      <c r="W91" s="73" t="s">
        <v>199</v>
      </c>
      <c r="X91" s="74">
        <v>45139</v>
      </c>
      <c r="Y91" s="74"/>
      <c r="Z91" s="74"/>
      <c r="AA91" s="75">
        <v>-9488000</v>
      </c>
      <c r="AB91" s="140" t="s">
        <v>200</v>
      </c>
      <c r="AC91" s="140"/>
      <c r="AD91" s="140"/>
      <c r="AE91" s="140"/>
      <c r="AF91" s="140"/>
      <c r="AG91" s="75">
        <f>+AA91</f>
        <v>-9488000</v>
      </c>
    </row>
    <row r="92" spans="1:33" ht="16.5" customHeight="1">
      <c r="A92" s="143"/>
      <c r="B92" s="6" t="s">
        <v>201</v>
      </c>
      <c r="C92" s="6" t="s">
        <v>21</v>
      </c>
      <c r="D92" s="7" t="s">
        <v>47</v>
      </c>
      <c r="E92" s="8">
        <v>45156</v>
      </c>
      <c r="F92" s="7" t="s">
        <v>96</v>
      </c>
      <c r="G92" s="9">
        <v>1140000</v>
      </c>
      <c r="H92" s="10">
        <f t="shared" si="50"/>
        <v>216600</v>
      </c>
      <c r="I92" s="10">
        <f t="shared" si="51"/>
        <v>1356600</v>
      </c>
      <c r="J92" s="10">
        <f t="shared" si="52"/>
        <v>28500</v>
      </c>
      <c r="K92" s="10">
        <f t="shared" si="53"/>
        <v>12585.599999999999</v>
      </c>
      <c r="L92" s="10">
        <f t="shared" si="54"/>
        <v>32490</v>
      </c>
      <c r="M92" s="58">
        <v>0</v>
      </c>
      <c r="N92" s="10">
        <f t="shared" si="55"/>
        <v>73575.600000000006</v>
      </c>
      <c r="O92" s="10">
        <f t="shared" si="56"/>
        <v>1283024.3999999999</v>
      </c>
      <c r="P92" s="57">
        <v>45212</v>
      </c>
      <c r="Q92" s="6" t="s">
        <v>24</v>
      </c>
      <c r="R92" s="9">
        <v>1283024</v>
      </c>
      <c r="S92" s="10">
        <f t="shared" si="57"/>
        <v>0.39999999990686774</v>
      </c>
      <c r="T92" s="6" t="s">
        <v>25</v>
      </c>
      <c r="U92" s="3"/>
      <c r="V92" s="141" t="s">
        <v>202</v>
      </c>
      <c r="W92" s="141"/>
      <c r="X92" s="141"/>
      <c r="Y92" s="132"/>
      <c r="Z92" s="132"/>
      <c r="AA92" s="9">
        <f t="shared" ref="AA92:AF92" si="58">SUM(AA87:AA91)</f>
        <v>4048850</v>
      </c>
      <c r="AB92" s="9">
        <f t="shared" si="58"/>
        <v>314070</v>
      </c>
      <c r="AC92" s="9">
        <f t="shared" si="58"/>
        <v>99580.800000000003</v>
      </c>
      <c r="AD92" s="9">
        <f t="shared" si="58"/>
        <v>275500</v>
      </c>
      <c r="AE92" s="9">
        <f t="shared" si="58"/>
        <v>163365</v>
      </c>
      <c r="AF92" s="78">
        <f t="shared" si="58"/>
        <v>12684334.199999999</v>
      </c>
      <c r="AG92" s="7"/>
    </row>
    <row r="93" spans="1:33" ht="16.5" customHeight="1">
      <c r="A93" s="143"/>
      <c r="B93" s="6" t="s">
        <v>203</v>
      </c>
      <c r="C93" s="6" t="s">
        <v>21</v>
      </c>
      <c r="D93" s="7" t="s">
        <v>47</v>
      </c>
      <c r="E93" s="8">
        <v>45156</v>
      </c>
      <c r="F93" s="7" t="s">
        <v>204</v>
      </c>
      <c r="G93" s="9">
        <v>60000</v>
      </c>
      <c r="H93" s="10">
        <f t="shared" si="50"/>
        <v>11400</v>
      </c>
      <c r="I93" s="10">
        <f t="shared" si="51"/>
        <v>71400</v>
      </c>
      <c r="J93" s="10"/>
      <c r="K93" s="10"/>
      <c r="L93" s="10"/>
      <c r="M93" s="58">
        <v>0</v>
      </c>
      <c r="N93" s="10">
        <f t="shared" si="55"/>
        <v>0</v>
      </c>
      <c r="O93" s="10">
        <f t="shared" si="56"/>
        <v>71400</v>
      </c>
      <c r="P93" s="57">
        <v>45212</v>
      </c>
      <c r="Q93" s="6" t="s">
        <v>135</v>
      </c>
      <c r="R93" s="9">
        <v>71400</v>
      </c>
      <c r="S93" s="10">
        <f t="shared" si="57"/>
        <v>0</v>
      </c>
      <c r="T93" s="6" t="s">
        <v>25</v>
      </c>
      <c r="U93" s="3"/>
      <c r="V93" s="141" t="s">
        <v>205</v>
      </c>
      <c r="W93" s="141"/>
      <c r="X93" s="141"/>
      <c r="Y93" s="141"/>
      <c r="Z93" s="141"/>
      <c r="AA93" s="141"/>
      <c r="AB93" s="141"/>
      <c r="AC93" s="141"/>
      <c r="AD93" s="141"/>
      <c r="AE93" s="141"/>
      <c r="AF93" s="142">
        <f>+AF92+AG91</f>
        <v>3196334.1999999993</v>
      </c>
      <c r="AG93" s="142"/>
    </row>
    <row r="94" spans="1:33" ht="16.5" customHeight="1">
      <c r="A94" s="143"/>
      <c r="B94" s="6" t="s">
        <v>206</v>
      </c>
      <c r="C94" s="6" t="s">
        <v>21</v>
      </c>
      <c r="D94" s="7" t="s">
        <v>47</v>
      </c>
      <c r="E94" s="8">
        <v>45156</v>
      </c>
      <c r="F94" s="7" t="s">
        <v>204</v>
      </c>
      <c r="G94" s="9">
        <v>2800000</v>
      </c>
      <c r="H94" s="10">
        <f t="shared" si="50"/>
        <v>532000</v>
      </c>
      <c r="I94" s="10">
        <f t="shared" si="51"/>
        <v>3332000</v>
      </c>
      <c r="J94" s="10">
        <f>G94*0.025</f>
        <v>70000</v>
      </c>
      <c r="K94" s="10">
        <f t="shared" si="53"/>
        <v>30911.999999999996</v>
      </c>
      <c r="L94" s="10">
        <f t="shared" si="54"/>
        <v>79800</v>
      </c>
      <c r="M94" s="58">
        <v>0</v>
      </c>
      <c r="N94" s="10">
        <f t="shared" si="55"/>
        <v>180712</v>
      </c>
      <c r="O94" s="10">
        <f t="shared" si="56"/>
        <v>3151288</v>
      </c>
      <c r="P94" s="57">
        <v>45212</v>
      </c>
      <c r="Q94" s="6" t="s">
        <v>24</v>
      </c>
      <c r="R94" s="9">
        <v>3151288</v>
      </c>
      <c r="S94" s="10">
        <f t="shared" si="57"/>
        <v>0</v>
      </c>
      <c r="T94" s="6" t="s">
        <v>25</v>
      </c>
    </row>
    <row r="95" spans="1:33" ht="16.5" customHeight="1">
      <c r="A95" s="143"/>
      <c r="B95" s="6" t="s">
        <v>207</v>
      </c>
      <c r="C95" s="6" t="s">
        <v>21</v>
      </c>
      <c r="D95" s="7" t="s">
        <v>47</v>
      </c>
      <c r="E95" s="8">
        <v>45156</v>
      </c>
      <c r="F95" s="7" t="s">
        <v>204</v>
      </c>
      <c r="G95" s="9">
        <v>150000</v>
      </c>
      <c r="H95" s="10">
        <f t="shared" si="50"/>
        <v>28500</v>
      </c>
      <c r="I95" s="10">
        <f t="shared" si="51"/>
        <v>178500</v>
      </c>
      <c r="J95" s="10">
        <f>G95*0.025</f>
        <v>3750</v>
      </c>
      <c r="K95" s="10">
        <f t="shared" si="53"/>
        <v>1655.9999999999998</v>
      </c>
      <c r="L95" s="10">
        <f t="shared" si="54"/>
        <v>4275</v>
      </c>
      <c r="M95" s="58">
        <v>0</v>
      </c>
      <c r="N95" s="10">
        <f t="shared" si="55"/>
        <v>9681</v>
      </c>
      <c r="O95" s="10">
        <f t="shared" si="56"/>
        <v>168819</v>
      </c>
      <c r="P95" s="57">
        <v>45212</v>
      </c>
      <c r="Q95" s="6" t="s">
        <v>24</v>
      </c>
      <c r="R95" s="9">
        <v>168819</v>
      </c>
      <c r="S95" s="10">
        <f t="shared" si="57"/>
        <v>0</v>
      </c>
      <c r="T95" s="6" t="s">
        <v>25</v>
      </c>
    </row>
    <row r="96" spans="1:33" ht="16.5" customHeight="1">
      <c r="A96" s="143"/>
      <c r="B96" s="6" t="s">
        <v>208</v>
      </c>
      <c r="C96" s="6" t="s">
        <v>21</v>
      </c>
      <c r="D96" s="7" t="s">
        <v>47</v>
      </c>
      <c r="E96" s="8">
        <v>45156</v>
      </c>
      <c r="F96" s="7" t="s">
        <v>204</v>
      </c>
      <c r="G96" s="9">
        <v>44000</v>
      </c>
      <c r="H96" s="10">
        <f t="shared" si="50"/>
        <v>8360</v>
      </c>
      <c r="I96" s="10">
        <f t="shared" si="51"/>
        <v>52360</v>
      </c>
      <c r="J96" s="10">
        <f>G96*0.025</f>
        <v>1100</v>
      </c>
      <c r="K96" s="10">
        <f t="shared" si="53"/>
        <v>485.75999999999993</v>
      </c>
      <c r="L96" s="10">
        <f t="shared" si="54"/>
        <v>1254</v>
      </c>
      <c r="M96" s="58">
        <v>0</v>
      </c>
      <c r="N96" s="10">
        <f t="shared" si="55"/>
        <v>2839.76</v>
      </c>
      <c r="O96" s="10">
        <f t="shared" si="56"/>
        <v>49520.24</v>
      </c>
      <c r="P96" s="57">
        <v>45212</v>
      </c>
      <c r="Q96" s="6" t="s">
        <v>24</v>
      </c>
      <c r="R96" s="9">
        <v>49520</v>
      </c>
      <c r="S96" s="10">
        <f t="shared" si="57"/>
        <v>0.23999999999796273</v>
      </c>
      <c r="T96" s="6" t="s">
        <v>25</v>
      </c>
    </row>
    <row r="97" spans="1:20" ht="15" customHeight="1">
      <c r="A97" s="143"/>
      <c r="B97" s="11"/>
      <c r="C97" s="11"/>
      <c r="D97" s="12"/>
      <c r="E97" s="13"/>
      <c r="F97" s="12"/>
      <c r="G97" s="14">
        <f>SUM(G85:G96)</f>
        <v>19717005</v>
      </c>
      <c r="H97" s="14">
        <f t="shared" ref="H97:R97" si="59">SUM(H85:H96)</f>
        <v>3746230.95</v>
      </c>
      <c r="I97" s="14">
        <f t="shared" si="59"/>
        <v>23463235.949999999</v>
      </c>
      <c r="J97" s="14">
        <f t="shared" si="59"/>
        <v>491425.125</v>
      </c>
      <c r="K97" s="14">
        <f t="shared" si="59"/>
        <v>194933.3352</v>
      </c>
      <c r="L97" s="14">
        <f t="shared" si="59"/>
        <v>560224.64250000007</v>
      </c>
      <c r="M97" s="15">
        <f t="shared" si="59"/>
        <v>214535</v>
      </c>
      <c r="N97" s="14">
        <f t="shared" si="59"/>
        <v>1461118.1027000002</v>
      </c>
      <c r="O97" s="14">
        <f t="shared" si="59"/>
        <v>22002117.847299997</v>
      </c>
      <c r="P97" s="14">
        <f t="shared" si="59"/>
        <v>542432</v>
      </c>
      <c r="Q97" s="15">
        <f t="shared" si="59"/>
        <v>0</v>
      </c>
      <c r="R97" s="14">
        <f t="shared" si="59"/>
        <v>22002117</v>
      </c>
      <c r="S97" s="14">
        <f>SUM(S85:S96)</f>
        <v>0.84730000052513788</v>
      </c>
      <c r="T97" s="15"/>
    </row>
    <row r="99" spans="1:20" ht="16.5" customHeight="1">
      <c r="A99" s="143" t="s">
        <v>209</v>
      </c>
      <c r="B99" s="6" t="s">
        <v>210</v>
      </c>
      <c r="C99" s="6" t="s">
        <v>21</v>
      </c>
      <c r="D99" s="7" t="s">
        <v>47</v>
      </c>
      <c r="E99" s="8">
        <v>45175</v>
      </c>
      <c r="F99" s="7" t="s">
        <v>211</v>
      </c>
      <c r="G99" s="9">
        <v>5700000</v>
      </c>
      <c r="H99" s="10">
        <f t="shared" ref="H99:H105" si="60">G99*0.19</f>
        <v>1083000</v>
      </c>
      <c r="I99" s="10">
        <f t="shared" ref="I99:I105" si="61">G99+H99</f>
        <v>6783000</v>
      </c>
      <c r="J99" s="10"/>
      <c r="K99" s="10">
        <f t="shared" ref="K99:K105" si="62">G99*11.04/1000</f>
        <v>62927.999999999993</v>
      </c>
      <c r="L99" s="10">
        <f t="shared" ref="L99:L105" si="63">H99*0.15</f>
        <v>162450</v>
      </c>
      <c r="M99" s="58">
        <v>109492</v>
      </c>
      <c r="N99" s="10">
        <f t="shared" ref="N99:N105" si="64">SUM(J99:M99)</f>
        <v>334870</v>
      </c>
      <c r="O99" s="10">
        <f t="shared" ref="O99:O105" si="65">+I99-N99</f>
        <v>6448130</v>
      </c>
      <c r="P99" s="57">
        <v>45198</v>
      </c>
      <c r="Q99" s="6" t="s">
        <v>24</v>
      </c>
      <c r="R99" s="9">
        <v>6448130</v>
      </c>
      <c r="S99" s="10">
        <f t="shared" ref="S99:S105" si="66">+O99-R99</f>
        <v>0</v>
      </c>
      <c r="T99" s="6" t="s">
        <v>25</v>
      </c>
    </row>
    <row r="100" spans="1:20" ht="16.5" customHeight="1">
      <c r="A100" s="143"/>
      <c r="B100" s="6" t="s">
        <v>212</v>
      </c>
      <c r="C100" s="6" t="s">
        <v>21</v>
      </c>
      <c r="D100" s="7" t="s">
        <v>47</v>
      </c>
      <c r="E100" s="8">
        <v>45175</v>
      </c>
      <c r="F100" s="7" t="s">
        <v>164</v>
      </c>
      <c r="G100" s="9">
        <v>3300000</v>
      </c>
      <c r="H100" s="10">
        <f t="shared" si="60"/>
        <v>627000</v>
      </c>
      <c r="I100" s="10">
        <f t="shared" si="61"/>
        <v>3927000</v>
      </c>
      <c r="J100" s="10">
        <f>G100*0.025</f>
        <v>82500</v>
      </c>
      <c r="K100" s="10">
        <f t="shared" si="62"/>
        <v>36432</v>
      </c>
      <c r="L100" s="10">
        <f t="shared" si="63"/>
        <v>94050</v>
      </c>
      <c r="M100" s="58">
        <v>0</v>
      </c>
      <c r="N100" s="10">
        <f t="shared" si="64"/>
        <v>212982</v>
      </c>
      <c r="O100" s="10">
        <f t="shared" si="65"/>
        <v>3714018</v>
      </c>
      <c r="P100" s="57">
        <v>45212</v>
      </c>
      <c r="Q100" s="6" t="s">
        <v>24</v>
      </c>
      <c r="R100" s="9">
        <v>3714018</v>
      </c>
      <c r="S100" s="10">
        <f t="shared" si="66"/>
        <v>0</v>
      </c>
      <c r="T100" s="6" t="s">
        <v>25</v>
      </c>
    </row>
    <row r="101" spans="1:20" ht="16.5" customHeight="1">
      <c r="A101" s="143"/>
      <c r="B101" s="6" t="s">
        <v>213</v>
      </c>
      <c r="C101" s="6" t="s">
        <v>21</v>
      </c>
      <c r="D101" s="7" t="s">
        <v>47</v>
      </c>
      <c r="E101" s="8">
        <v>45175</v>
      </c>
      <c r="F101" s="7" t="s">
        <v>147</v>
      </c>
      <c r="G101" s="9">
        <v>1750000</v>
      </c>
      <c r="H101" s="10">
        <f t="shared" si="60"/>
        <v>332500</v>
      </c>
      <c r="I101" s="10">
        <f t="shared" si="61"/>
        <v>2082500</v>
      </c>
      <c r="J101" s="10">
        <v>0</v>
      </c>
      <c r="K101" s="10">
        <f t="shared" si="62"/>
        <v>19320</v>
      </c>
      <c r="L101" s="10">
        <f t="shared" si="63"/>
        <v>49875</v>
      </c>
      <c r="M101" s="58">
        <v>0</v>
      </c>
      <c r="N101" s="10">
        <f t="shared" si="64"/>
        <v>69195</v>
      </c>
      <c r="O101" s="10">
        <f t="shared" si="65"/>
        <v>2013305</v>
      </c>
      <c r="P101" s="57">
        <v>45226</v>
      </c>
      <c r="Q101" s="6" t="s">
        <v>24</v>
      </c>
      <c r="R101" s="9">
        <v>2013305</v>
      </c>
      <c r="S101" s="10">
        <f t="shared" si="66"/>
        <v>0</v>
      </c>
      <c r="T101" s="6" t="s">
        <v>25</v>
      </c>
    </row>
    <row r="102" spans="1:20" ht="16.5" customHeight="1">
      <c r="A102" s="143"/>
      <c r="B102" s="6" t="s">
        <v>214</v>
      </c>
      <c r="C102" s="6" t="s">
        <v>21</v>
      </c>
      <c r="D102" s="7" t="s">
        <v>47</v>
      </c>
      <c r="E102" s="8">
        <v>45175</v>
      </c>
      <c r="F102" s="7" t="s">
        <v>215</v>
      </c>
      <c r="G102" s="9">
        <v>530000</v>
      </c>
      <c r="H102" s="10">
        <f t="shared" si="60"/>
        <v>100700</v>
      </c>
      <c r="I102" s="10">
        <f t="shared" si="61"/>
        <v>630700</v>
      </c>
      <c r="J102" s="10">
        <f>G102*0.025</f>
        <v>13250</v>
      </c>
      <c r="K102" s="10">
        <f t="shared" si="62"/>
        <v>5851.2</v>
      </c>
      <c r="L102" s="10">
        <f t="shared" si="63"/>
        <v>15105</v>
      </c>
      <c r="M102" s="58">
        <v>0</v>
      </c>
      <c r="N102" s="10">
        <f t="shared" si="64"/>
        <v>34206.199999999997</v>
      </c>
      <c r="O102" s="10">
        <f t="shared" si="65"/>
        <v>596493.80000000005</v>
      </c>
      <c r="P102" s="57">
        <v>45226</v>
      </c>
      <c r="Q102" s="6" t="s">
        <v>24</v>
      </c>
      <c r="R102" s="9">
        <v>596494</v>
      </c>
      <c r="S102" s="10">
        <f t="shared" si="66"/>
        <v>-0.19999999995343387</v>
      </c>
      <c r="T102" s="6" t="s">
        <v>25</v>
      </c>
    </row>
    <row r="103" spans="1:20" ht="16.5" customHeight="1">
      <c r="A103" s="143"/>
      <c r="B103" s="63" t="s">
        <v>216</v>
      </c>
      <c r="C103" s="63" t="s">
        <v>21</v>
      </c>
      <c r="D103" s="64" t="s">
        <v>47</v>
      </c>
      <c r="E103" s="65">
        <v>45175</v>
      </c>
      <c r="F103" s="64" t="s">
        <v>217</v>
      </c>
      <c r="G103" s="66">
        <v>450000</v>
      </c>
      <c r="H103" s="67">
        <f t="shared" si="60"/>
        <v>85500</v>
      </c>
      <c r="I103" s="67">
        <f t="shared" si="61"/>
        <v>535500</v>
      </c>
      <c r="J103" s="67"/>
      <c r="K103" s="67"/>
      <c r="L103" s="67"/>
      <c r="M103" s="68">
        <v>0</v>
      </c>
      <c r="N103" s="67">
        <f t="shared" si="64"/>
        <v>0</v>
      </c>
      <c r="O103" s="67">
        <f t="shared" si="65"/>
        <v>535500</v>
      </c>
      <c r="P103" s="64"/>
      <c r="Q103" s="63"/>
      <c r="R103" s="66"/>
      <c r="S103" s="67">
        <f t="shared" si="66"/>
        <v>535500</v>
      </c>
      <c r="T103" s="63"/>
    </row>
    <row r="104" spans="1:20" ht="16.5" customHeight="1">
      <c r="A104" s="143"/>
      <c r="B104" s="6" t="s">
        <v>218</v>
      </c>
      <c r="C104" s="6" t="s">
        <v>21</v>
      </c>
      <c r="D104" s="7" t="s">
        <v>47</v>
      </c>
      <c r="E104" s="8">
        <v>45175</v>
      </c>
      <c r="F104" s="7" t="s">
        <v>219</v>
      </c>
      <c r="G104" s="9">
        <v>330000</v>
      </c>
      <c r="H104" s="10">
        <f t="shared" si="60"/>
        <v>62700</v>
      </c>
      <c r="I104" s="10">
        <f t="shared" si="61"/>
        <v>392700</v>
      </c>
      <c r="J104" s="10"/>
      <c r="K104" s="10">
        <f t="shared" si="62"/>
        <v>3643.1999999999994</v>
      </c>
      <c r="L104" s="10">
        <f t="shared" si="63"/>
        <v>9405</v>
      </c>
      <c r="M104" s="58">
        <v>0</v>
      </c>
      <c r="N104" s="10">
        <f t="shared" si="64"/>
        <v>13048.199999999999</v>
      </c>
      <c r="O104" s="10">
        <f t="shared" si="65"/>
        <v>379651.8</v>
      </c>
      <c r="P104" s="57">
        <v>45226</v>
      </c>
      <c r="Q104" s="6" t="s">
        <v>24</v>
      </c>
      <c r="R104" s="9">
        <v>379652</v>
      </c>
      <c r="S104" s="10">
        <f t="shared" si="66"/>
        <v>-0.20000000001164153</v>
      </c>
      <c r="T104" s="6" t="s">
        <v>25</v>
      </c>
    </row>
    <row r="105" spans="1:20" ht="16.5" customHeight="1">
      <c r="A105" s="143"/>
      <c r="B105" s="6" t="s">
        <v>220</v>
      </c>
      <c r="C105" s="6" t="s">
        <v>21</v>
      </c>
      <c r="D105" s="7" t="s">
        <v>47</v>
      </c>
      <c r="E105" s="8">
        <v>45175</v>
      </c>
      <c r="F105" s="7" t="s">
        <v>197</v>
      </c>
      <c r="G105" s="9">
        <v>3180000</v>
      </c>
      <c r="H105" s="10">
        <f t="shared" si="60"/>
        <v>604200</v>
      </c>
      <c r="I105" s="10">
        <f t="shared" si="61"/>
        <v>3784200</v>
      </c>
      <c r="J105" s="10">
        <f t="shared" ref="J105:J110" si="67">G105*0.025</f>
        <v>79500</v>
      </c>
      <c r="K105" s="10">
        <f t="shared" si="62"/>
        <v>35107.199999999997</v>
      </c>
      <c r="L105" s="10">
        <f t="shared" si="63"/>
        <v>90630</v>
      </c>
      <c r="M105" s="58">
        <v>59495</v>
      </c>
      <c r="N105" s="10">
        <f t="shared" si="64"/>
        <v>264732.2</v>
      </c>
      <c r="O105" s="10">
        <f t="shared" si="65"/>
        <v>3519467.8</v>
      </c>
      <c r="P105" s="57">
        <v>45212</v>
      </c>
      <c r="Q105" s="6" t="s">
        <v>24</v>
      </c>
      <c r="R105" s="9">
        <v>3519468</v>
      </c>
      <c r="S105" s="10">
        <f t="shared" si="66"/>
        <v>-0.20000000018626451</v>
      </c>
      <c r="T105" s="6" t="s">
        <v>25</v>
      </c>
    </row>
    <row r="106" spans="1:20" ht="16.5" customHeight="1">
      <c r="A106" s="143"/>
      <c r="B106" s="6" t="s">
        <v>221</v>
      </c>
      <c r="C106" s="6" t="s">
        <v>222</v>
      </c>
      <c r="D106" s="7" t="s">
        <v>47</v>
      </c>
      <c r="E106" s="8">
        <v>45189</v>
      </c>
      <c r="F106" s="7" t="s">
        <v>190</v>
      </c>
      <c r="G106" s="9">
        <v>330000</v>
      </c>
      <c r="H106" s="10">
        <f t="shared" ref="H106:H113" si="68">G106*0.19</f>
        <v>62700</v>
      </c>
      <c r="I106" s="10">
        <f t="shared" ref="I106:I113" si="69">G106+H106</f>
        <v>392700</v>
      </c>
      <c r="J106" s="10">
        <f t="shared" si="67"/>
        <v>8250</v>
      </c>
      <c r="K106" s="10">
        <f t="shared" ref="K106:K113" si="70">G106*11.04/1000</f>
        <v>3643.1999999999994</v>
      </c>
      <c r="L106" s="10">
        <f t="shared" ref="L106:L113" si="71">H106*0.15</f>
        <v>9405</v>
      </c>
      <c r="M106" s="58"/>
      <c r="N106" s="10">
        <f t="shared" ref="N106:N113" si="72">SUM(J106:M106)</f>
        <v>21298.199999999997</v>
      </c>
      <c r="O106" s="10">
        <f t="shared" ref="O106:O113" si="73">+I106-N106</f>
        <v>371401.8</v>
      </c>
      <c r="P106" s="57">
        <v>45240</v>
      </c>
      <c r="Q106" s="6" t="s">
        <v>24</v>
      </c>
      <c r="R106" s="9">
        <v>371402</v>
      </c>
      <c r="S106" s="10">
        <f t="shared" ref="S106:S113" si="74">+O106-R106</f>
        <v>-0.20000000001164153</v>
      </c>
      <c r="T106" s="6" t="s">
        <v>25</v>
      </c>
    </row>
    <row r="107" spans="1:20" ht="16.5" customHeight="1">
      <c r="A107" s="143"/>
      <c r="B107" s="6" t="s">
        <v>223</v>
      </c>
      <c r="C107" s="6" t="s">
        <v>224</v>
      </c>
      <c r="D107" s="7" t="s">
        <v>47</v>
      </c>
      <c r="E107" s="8">
        <v>45189</v>
      </c>
      <c r="F107" s="7" t="s">
        <v>162</v>
      </c>
      <c r="G107" s="9">
        <v>3770000</v>
      </c>
      <c r="H107" s="10">
        <f t="shared" si="68"/>
        <v>716300</v>
      </c>
      <c r="I107" s="10">
        <f t="shared" si="69"/>
        <v>4486300</v>
      </c>
      <c r="J107" s="10">
        <f t="shared" si="67"/>
        <v>94250</v>
      </c>
      <c r="K107" s="10">
        <f t="shared" si="70"/>
        <v>41620.800000000003</v>
      </c>
      <c r="L107" s="10">
        <f t="shared" si="71"/>
        <v>107445</v>
      </c>
      <c r="M107" s="58"/>
      <c r="N107" s="10">
        <f t="shared" si="72"/>
        <v>243315.8</v>
      </c>
      <c r="O107" s="10">
        <f t="shared" si="73"/>
        <v>4242984.2</v>
      </c>
      <c r="P107" s="57">
        <v>45240</v>
      </c>
      <c r="Q107" s="6" t="s">
        <v>24</v>
      </c>
      <c r="R107" s="9">
        <v>4242984</v>
      </c>
      <c r="S107" s="10">
        <f t="shared" si="74"/>
        <v>0.20000000018626451</v>
      </c>
      <c r="T107" s="6" t="s">
        <v>25</v>
      </c>
    </row>
    <row r="108" spans="1:20" ht="16.5" customHeight="1">
      <c r="A108" s="143"/>
      <c r="B108" s="6" t="s">
        <v>225</v>
      </c>
      <c r="C108" s="6" t="s">
        <v>31</v>
      </c>
      <c r="D108" s="7" t="s">
        <v>47</v>
      </c>
      <c r="E108" s="8">
        <v>45189</v>
      </c>
      <c r="F108" s="7" t="s">
        <v>197</v>
      </c>
      <c r="G108" s="9">
        <v>600000</v>
      </c>
      <c r="H108" s="10">
        <f t="shared" si="68"/>
        <v>114000</v>
      </c>
      <c r="I108" s="10">
        <f t="shared" si="69"/>
        <v>714000</v>
      </c>
      <c r="J108" s="10">
        <f t="shared" si="67"/>
        <v>15000</v>
      </c>
      <c r="K108" s="10">
        <f t="shared" si="70"/>
        <v>6623.9999999999991</v>
      </c>
      <c r="L108" s="10">
        <f t="shared" si="71"/>
        <v>17100</v>
      </c>
      <c r="M108" s="58"/>
      <c r="N108" s="10">
        <f t="shared" si="72"/>
        <v>38724</v>
      </c>
      <c r="O108" s="10">
        <f t="shared" si="73"/>
        <v>675276</v>
      </c>
      <c r="P108" s="57">
        <v>45240</v>
      </c>
      <c r="Q108" s="6" t="s">
        <v>24</v>
      </c>
      <c r="R108" s="9">
        <v>675276</v>
      </c>
      <c r="S108" s="10">
        <f t="shared" si="74"/>
        <v>0</v>
      </c>
      <c r="T108" s="6" t="s">
        <v>25</v>
      </c>
    </row>
    <row r="109" spans="1:20" ht="16.5" customHeight="1">
      <c r="A109" s="143"/>
      <c r="B109" s="6" t="s">
        <v>226</v>
      </c>
      <c r="C109" s="6" t="s">
        <v>227</v>
      </c>
      <c r="D109" s="7" t="s">
        <v>47</v>
      </c>
      <c r="E109" s="8">
        <v>45189</v>
      </c>
      <c r="F109" s="7" t="s">
        <v>190</v>
      </c>
      <c r="G109" s="9">
        <v>99000</v>
      </c>
      <c r="H109" s="10">
        <f t="shared" si="68"/>
        <v>18810</v>
      </c>
      <c r="I109" s="10">
        <f t="shared" si="69"/>
        <v>117810</v>
      </c>
      <c r="J109" s="10">
        <f t="shared" si="67"/>
        <v>2475</v>
      </c>
      <c r="K109" s="10">
        <f t="shared" si="70"/>
        <v>1092.96</v>
      </c>
      <c r="L109" s="10">
        <f t="shared" si="71"/>
        <v>2821.5</v>
      </c>
      <c r="M109" s="58">
        <v>1852</v>
      </c>
      <c r="N109" s="10">
        <f t="shared" si="72"/>
        <v>8241.4599999999991</v>
      </c>
      <c r="O109" s="10">
        <f t="shared" si="73"/>
        <v>109568.54000000001</v>
      </c>
      <c r="P109" s="57">
        <v>45226</v>
      </c>
      <c r="Q109" s="6" t="s">
        <v>24</v>
      </c>
      <c r="R109" s="9">
        <v>109569</v>
      </c>
      <c r="S109" s="10">
        <f t="shared" si="74"/>
        <v>-0.45999999999185093</v>
      </c>
      <c r="T109" s="6" t="s">
        <v>25</v>
      </c>
    </row>
    <row r="110" spans="1:20" ht="16.5" customHeight="1">
      <c r="A110" s="143"/>
      <c r="B110" s="6" t="s">
        <v>228</v>
      </c>
      <c r="C110" s="6" t="s">
        <v>229</v>
      </c>
      <c r="D110" s="7" t="s">
        <v>47</v>
      </c>
      <c r="E110" s="8">
        <v>45189</v>
      </c>
      <c r="F110" s="7" t="s">
        <v>190</v>
      </c>
      <c r="G110" s="9">
        <v>330000</v>
      </c>
      <c r="H110" s="10">
        <f t="shared" si="68"/>
        <v>62700</v>
      </c>
      <c r="I110" s="10">
        <f t="shared" si="69"/>
        <v>392700</v>
      </c>
      <c r="J110" s="10">
        <f t="shared" si="67"/>
        <v>8250</v>
      </c>
      <c r="K110" s="10">
        <f t="shared" si="70"/>
        <v>3643.1999999999994</v>
      </c>
      <c r="L110" s="10">
        <f t="shared" si="71"/>
        <v>9405</v>
      </c>
      <c r="M110" s="58">
        <v>6174</v>
      </c>
      <c r="N110" s="10">
        <f t="shared" si="72"/>
        <v>27472.199999999997</v>
      </c>
      <c r="O110" s="10">
        <f t="shared" si="73"/>
        <v>365227.8</v>
      </c>
      <c r="P110" s="57">
        <v>45226</v>
      </c>
      <c r="Q110" s="6" t="s">
        <v>24</v>
      </c>
      <c r="R110" s="9">
        <v>365228</v>
      </c>
      <c r="S110" s="10">
        <f t="shared" si="74"/>
        <v>-0.20000000001164153</v>
      </c>
      <c r="T110" s="6" t="s">
        <v>25</v>
      </c>
    </row>
    <row r="111" spans="1:20" ht="16.5" customHeight="1">
      <c r="A111" s="143"/>
      <c r="B111" s="6" t="s">
        <v>230</v>
      </c>
      <c r="C111" s="6" t="s">
        <v>231</v>
      </c>
      <c r="D111" s="7" t="s">
        <v>47</v>
      </c>
      <c r="E111" s="8">
        <v>45189</v>
      </c>
      <c r="F111" s="7" t="s">
        <v>147</v>
      </c>
      <c r="G111" s="9">
        <v>2500000</v>
      </c>
      <c r="H111" s="10">
        <f t="shared" si="68"/>
        <v>475000</v>
      </c>
      <c r="I111" s="10">
        <f t="shared" si="69"/>
        <v>2975000</v>
      </c>
      <c r="J111" s="10">
        <f>G111*0.04</f>
        <v>100000</v>
      </c>
      <c r="K111" s="10">
        <f t="shared" si="70"/>
        <v>27599.999999999996</v>
      </c>
      <c r="L111" s="10">
        <f t="shared" si="71"/>
        <v>71250</v>
      </c>
      <c r="M111" s="58"/>
      <c r="N111" s="10">
        <f t="shared" si="72"/>
        <v>198850</v>
      </c>
      <c r="O111" s="10">
        <f t="shared" si="73"/>
        <v>2776150</v>
      </c>
      <c r="P111" s="57">
        <v>45296</v>
      </c>
      <c r="Q111" s="6" t="s">
        <v>24</v>
      </c>
      <c r="R111" s="9">
        <v>2776150</v>
      </c>
      <c r="S111" s="10">
        <f t="shared" si="74"/>
        <v>0</v>
      </c>
      <c r="T111" s="6" t="s">
        <v>25</v>
      </c>
    </row>
    <row r="112" spans="1:20" ht="16.5" customHeight="1">
      <c r="A112" s="143"/>
      <c r="B112" s="6" t="s">
        <v>232</v>
      </c>
      <c r="C112" s="6" t="s">
        <v>233</v>
      </c>
      <c r="D112" s="7" t="s">
        <v>47</v>
      </c>
      <c r="E112" s="8">
        <v>45189</v>
      </c>
      <c r="F112" s="7" t="s">
        <v>48</v>
      </c>
      <c r="G112" s="9">
        <v>410000</v>
      </c>
      <c r="H112" s="10">
        <f t="shared" si="68"/>
        <v>77900</v>
      </c>
      <c r="I112" s="10">
        <f t="shared" si="69"/>
        <v>487900</v>
      </c>
      <c r="J112" s="10"/>
      <c r="K112" s="10">
        <f t="shared" si="70"/>
        <v>4526.3999999999996</v>
      </c>
      <c r="L112" s="10">
        <f t="shared" si="71"/>
        <v>11685</v>
      </c>
      <c r="M112" s="58">
        <v>7876</v>
      </c>
      <c r="N112" s="10">
        <f t="shared" si="72"/>
        <v>24087.4</v>
      </c>
      <c r="O112" s="10">
        <f t="shared" si="73"/>
        <v>463812.6</v>
      </c>
      <c r="P112" s="57">
        <v>45226</v>
      </c>
      <c r="Q112" s="6" t="s">
        <v>24</v>
      </c>
      <c r="R112" s="9">
        <v>463813</v>
      </c>
      <c r="S112" s="10">
        <f t="shared" si="74"/>
        <v>-0.40000000002328306</v>
      </c>
      <c r="T112" s="6" t="s">
        <v>25</v>
      </c>
    </row>
    <row r="113" spans="1:20" ht="16.5" customHeight="1">
      <c r="A113" s="143"/>
      <c r="B113" s="6" t="s">
        <v>234</v>
      </c>
      <c r="C113" s="6" t="s">
        <v>235</v>
      </c>
      <c r="D113" s="7" t="s">
        <v>47</v>
      </c>
      <c r="E113" s="8">
        <v>45189</v>
      </c>
      <c r="F113" s="7" t="s">
        <v>217</v>
      </c>
      <c r="G113" s="9">
        <v>450000</v>
      </c>
      <c r="H113" s="10">
        <f t="shared" si="68"/>
        <v>85500</v>
      </c>
      <c r="I113" s="10">
        <f t="shared" si="69"/>
        <v>535500</v>
      </c>
      <c r="J113" s="10"/>
      <c r="K113" s="10">
        <f t="shared" si="70"/>
        <v>4968</v>
      </c>
      <c r="L113" s="10">
        <f t="shared" si="71"/>
        <v>12825</v>
      </c>
      <c r="M113" s="58"/>
      <c r="N113" s="10">
        <f t="shared" si="72"/>
        <v>17793</v>
      </c>
      <c r="O113" s="10">
        <f t="shared" si="73"/>
        <v>517707</v>
      </c>
      <c r="P113" s="57">
        <v>45240</v>
      </c>
      <c r="Q113" s="6" t="s">
        <v>24</v>
      </c>
      <c r="R113" s="9">
        <v>517707</v>
      </c>
      <c r="S113" s="10">
        <f t="shared" si="74"/>
        <v>0</v>
      </c>
      <c r="T113" s="6" t="s">
        <v>25</v>
      </c>
    </row>
    <row r="114" spans="1:20">
      <c r="A114" s="143"/>
      <c r="B114" s="11"/>
      <c r="C114" s="11"/>
      <c r="D114" s="12"/>
      <c r="E114" s="13"/>
      <c r="F114" s="12"/>
      <c r="G114" s="14">
        <f t="shared" ref="G114:S114" si="75">SUM(G99:G113)-G172</f>
        <v>23279000</v>
      </c>
      <c r="H114" s="14">
        <f t="shared" si="75"/>
        <v>4423010</v>
      </c>
      <c r="I114" s="14">
        <f t="shared" si="75"/>
        <v>27702010</v>
      </c>
      <c r="J114" s="14">
        <f t="shared" si="75"/>
        <v>385475</v>
      </c>
      <c r="K114" s="14">
        <f t="shared" si="75"/>
        <v>252032.15999999997</v>
      </c>
      <c r="L114" s="14">
        <f t="shared" si="75"/>
        <v>650626.5</v>
      </c>
      <c r="M114" s="14">
        <f t="shared" si="75"/>
        <v>184889</v>
      </c>
      <c r="N114" s="14">
        <f t="shared" si="75"/>
        <v>1473022.6599999997</v>
      </c>
      <c r="O114" s="14">
        <f t="shared" si="75"/>
        <v>26228987.340000004</v>
      </c>
      <c r="P114" s="14">
        <f t="shared" si="75"/>
        <v>633234</v>
      </c>
      <c r="Q114" s="14">
        <f t="shared" si="75"/>
        <v>0</v>
      </c>
      <c r="R114" s="14">
        <f t="shared" si="75"/>
        <v>26193196</v>
      </c>
      <c r="S114" s="14">
        <f t="shared" si="75"/>
        <v>35791.3400000002</v>
      </c>
      <c r="T114" s="14"/>
    </row>
    <row r="116" spans="1:20" ht="16.5" customHeight="1">
      <c r="A116" s="143" t="s">
        <v>236</v>
      </c>
      <c r="B116" s="6" t="s">
        <v>237</v>
      </c>
      <c r="C116" s="6" t="s">
        <v>173</v>
      </c>
      <c r="D116" s="7" t="s">
        <v>238</v>
      </c>
      <c r="E116" s="8">
        <v>45219</v>
      </c>
      <c r="F116" s="7" t="s">
        <v>239</v>
      </c>
      <c r="G116" s="9">
        <v>275000</v>
      </c>
      <c r="H116" s="10">
        <f t="shared" ref="H116:H123" si="76">G116*0.19</f>
        <v>52250</v>
      </c>
      <c r="I116" s="10">
        <f t="shared" ref="I116:I123" si="77">G116+H116</f>
        <v>327250</v>
      </c>
      <c r="J116" s="10">
        <f>G116*0.025</f>
        <v>6875</v>
      </c>
      <c r="K116" s="10">
        <f t="shared" ref="K116:K124" si="78">G116*11.04/1000</f>
        <v>3035.9999999999995</v>
      </c>
      <c r="L116" s="10">
        <f t="shared" ref="L116:L124" si="79">H116*0.15</f>
        <v>7837.5</v>
      </c>
      <c r="M116" s="58">
        <v>5145</v>
      </c>
      <c r="N116" s="10">
        <f t="shared" ref="N116:N124" si="80">SUM(J116:M116)</f>
        <v>22893.5</v>
      </c>
      <c r="O116" s="10">
        <f t="shared" ref="O116:O124" si="81">+I116-N116</f>
        <v>304356.5</v>
      </c>
      <c r="P116" s="57">
        <v>45254</v>
      </c>
      <c r="Q116" s="6" t="s">
        <v>24</v>
      </c>
      <c r="R116" s="9">
        <v>304357</v>
      </c>
      <c r="S116" s="10">
        <f>+O116-R116</f>
        <v>-0.5</v>
      </c>
      <c r="T116" s="6" t="s">
        <v>25</v>
      </c>
    </row>
    <row r="117" spans="1:20" ht="16.5" customHeight="1">
      <c r="A117" s="143"/>
      <c r="B117" s="6" t="s">
        <v>240</v>
      </c>
      <c r="C117" s="6" t="s">
        <v>173</v>
      </c>
      <c r="D117" s="7" t="s">
        <v>238</v>
      </c>
      <c r="E117" s="8">
        <v>45219</v>
      </c>
      <c r="F117" s="7" t="s">
        <v>239</v>
      </c>
      <c r="G117" s="9">
        <v>3300000</v>
      </c>
      <c r="H117" s="10">
        <f t="shared" si="76"/>
        <v>627000</v>
      </c>
      <c r="I117" s="10">
        <f t="shared" si="77"/>
        <v>3927000</v>
      </c>
      <c r="J117" s="10">
        <f>G117*0.025</f>
        <v>82500</v>
      </c>
      <c r="K117" s="10">
        <f t="shared" si="78"/>
        <v>36432</v>
      </c>
      <c r="L117" s="10">
        <f t="shared" si="79"/>
        <v>94050</v>
      </c>
      <c r="M117" s="58">
        <v>61740</v>
      </c>
      <c r="N117" s="10">
        <f t="shared" si="80"/>
        <v>274722</v>
      </c>
      <c r="O117" s="10">
        <f t="shared" si="81"/>
        <v>3652278</v>
      </c>
      <c r="P117" s="57">
        <v>45254</v>
      </c>
      <c r="Q117" s="6" t="s">
        <v>24</v>
      </c>
      <c r="R117" s="9">
        <v>3652278</v>
      </c>
      <c r="S117" s="10">
        <f>+O117-R117</f>
        <v>0</v>
      </c>
      <c r="T117" s="6" t="s">
        <v>25</v>
      </c>
    </row>
    <row r="118" spans="1:20" ht="16.5" customHeight="1">
      <c r="A118" s="143"/>
      <c r="B118" s="6" t="s">
        <v>241</v>
      </c>
      <c r="C118" s="6" t="s">
        <v>21</v>
      </c>
      <c r="D118" s="7" t="s">
        <v>47</v>
      </c>
      <c r="E118" s="8">
        <v>45219</v>
      </c>
      <c r="F118" s="7" t="s">
        <v>242</v>
      </c>
      <c r="G118" s="9">
        <v>530000</v>
      </c>
      <c r="H118" s="10">
        <f t="shared" si="76"/>
        <v>100700</v>
      </c>
      <c r="I118" s="10">
        <f t="shared" si="77"/>
        <v>630700</v>
      </c>
      <c r="J118" s="10">
        <f>G118*0.025</f>
        <v>13250</v>
      </c>
      <c r="K118" s="10">
        <f t="shared" si="78"/>
        <v>5851.2</v>
      </c>
      <c r="L118" s="10">
        <f t="shared" si="79"/>
        <v>15105</v>
      </c>
      <c r="M118" s="58">
        <v>9916</v>
      </c>
      <c r="N118" s="10">
        <f t="shared" si="80"/>
        <v>44122.2</v>
      </c>
      <c r="O118" s="10">
        <f t="shared" si="81"/>
        <v>586577.80000000005</v>
      </c>
      <c r="P118" s="57">
        <v>45254</v>
      </c>
      <c r="Q118" s="6" t="s">
        <v>24</v>
      </c>
      <c r="R118" s="9">
        <v>586578</v>
      </c>
      <c r="S118" s="10">
        <f t="shared" ref="S118:S123" si="82">+O118-R118</f>
        <v>-0.19999999995343387</v>
      </c>
      <c r="T118" s="6" t="s">
        <v>25</v>
      </c>
    </row>
    <row r="119" spans="1:20" ht="16.5" customHeight="1">
      <c r="A119" s="143"/>
      <c r="B119" s="6" t="s">
        <v>243</v>
      </c>
      <c r="C119" s="6" t="s">
        <v>21</v>
      </c>
      <c r="D119" s="7" t="s">
        <v>47</v>
      </c>
      <c r="E119" s="8">
        <v>45219</v>
      </c>
      <c r="F119" s="7" t="s">
        <v>96</v>
      </c>
      <c r="G119" s="9">
        <v>380000</v>
      </c>
      <c r="H119" s="10">
        <f t="shared" si="76"/>
        <v>72200</v>
      </c>
      <c r="I119" s="10">
        <f t="shared" si="77"/>
        <v>452200</v>
      </c>
      <c r="J119" s="10">
        <f>G119*0.025</f>
        <v>9500</v>
      </c>
      <c r="K119" s="10">
        <f t="shared" si="78"/>
        <v>4195.2</v>
      </c>
      <c r="L119" s="10">
        <f t="shared" si="79"/>
        <v>10830</v>
      </c>
      <c r="M119" s="58">
        <v>7109</v>
      </c>
      <c r="N119" s="10">
        <f t="shared" si="80"/>
        <v>31634.2</v>
      </c>
      <c r="O119" s="10">
        <f t="shared" si="81"/>
        <v>420565.8</v>
      </c>
      <c r="P119" s="57">
        <v>45254</v>
      </c>
      <c r="Q119" s="6" t="s">
        <v>24</v>
      </c>
      <c r="R119" s="9">
        <v>420566</v>
      </c>
      <c r="S119" s="10">
        <f t="shared" si="82"/>
        <v>-0.20000000001164153</v>
      </c>
      <c r="T119" s="6" t="s">
        <v>25</v>
      </c>
    </row>
    <row r="120" spans="1:20" ht="16.5" customHeight="1">
      <c r="A120" s="143"/>
      <c r="B120" s="6" t="s">
        <v>244</v>
      </c>
      <c r="C120" s="6" t="s">
        <v>21</v>
      </c>
      <c r="D120" s="7" t="s">
        <v>47</v>
      </c>
      <c r="E120" s="8">
        <v>45219</v>
      </c>
      <c r="F120" s="7" t="s">
        <v>190</v>
      </c>
      <c r="G120" s="9">
        <v>11000</v>
      </c>
      <c r="H120" s="10">
        <f t="shared" si="76"/>
        <v>2090</v>
      </c>
      <c r="I120" s="10">
        <f t="shared" si="77"/>
        <v>13090</v>
      </c>
      <c r="J120" s="10">
        <f>G120*0.025</f>
        <v>275</v>
      </c>
      <c r="K120" s="10">
        <f t="shared" si="78"/>
        <v>121.43999999999998</v>
      </c>
      <c r="L120" s="10">
        <f t="shared" si="79"/>
        <v>313.5</v>
      </c>
      <c r="M120" s="58">
        <v>206</v>
      </c>
      <c r="N120" s="10">
        <f t="shared" si="80"/>
        <v>915.94</v>
      </c>
      <c r="O120" s="10">
        <f t="shared" si="81"/>
        <v>12174.06</v>
      </c>
      <c r="P120" s="57">
        <v>45254</v>
      </c>
      <c r="Q120" s="6" t="s">
        <v>24</v>
      </c>
      <c r="R120" s="9">
        <v>12380</v>
      </c>
      <c r="S120" s="10">
        <f>+O120-R120</f>
        <v>-205.94000000000051</v>
      </c>
      <c r="T120" s="6" t="s">
        <v>25</v>
      </c>
    </row>
    <row r="121" spans="1:20" ht="16.5" customHeight="1">
      <c r="A121" s="143"/>
      <c r="B121" s="6" t="s">
        <v>245</v>
      </c>
      <c r="C121" s="6" t="s">
        <v>21</v>
      </c>
      <c r="D121" s="7" t="s">
        <v>47</v>
      </c>
      <c r="E121" s="8">
        <v>45219</v>
      </c>
      <c r="F121" s="7" t="s">
        <v>151</v>
      </c>
      <c r="G121" s="9">
        <v>810000</v>
      </c>
      <c r="H121" s="10">
        <f t="shared" si="76"/>
        <v>153900</v>
      </c>
      <c r="I121" s="10">
        <f t="shared" si="77"/>
        <v>963900</v>
      </c>
      <c r="J121" s="10"/>
      <c r="K121" s="10">
        <f t="shared" si="78"/>
        <v>8942.4</v>
      </c>
      <c r="L121" s="10">
        <f t="shared" si="79"/>
        <v>23085</v>
      </c>
      <c r="M121" s="58"/>
      <c r="N121" s="10">
        <f t="shared" si="80"/>
        <v>32027.4</v>
      </c>
      <c r="O121" s="10">
        <f t="shared" si="81"/>
        <v>931872.6</v>
      </c>
      <c r="P121" s="57">
        <v>45280</v>
      </c>
      <c r="Q121" s="6" t="s">
        <v>24</v>
      </c>
      <c r="R121" s="9">
        <v>931873</v>
      </c>
      <c r="S121" s="10">
        <f>+O121-R121</f>
        <v>-0.40000000002328306</v>
      </c>
      <c r="T121" s="6" t="s">
        <v>25</v>
      </c>
    </row>
    <row r="122" spans="1:20" ht="16.5" customHeight="1">
      <c r="A122" s="143"/>
      <c r="B122" s="6" t="s">
        <v>246</v>
      </c>
      <c r="C122" s="6" t="s">
        <v>21</v>
      </c>
      <c r="D122" s="7" t="s">
        <v>47</v>
      </c>
      <c r="E122" s="8">
        <v>45219</v>
      </c>
      <c r="F122" s="7" t="s">
        <v>247</v>
      </c>
      <c r="G122" s="9">
        <v>880000</v>
      </c>
      <c r="H122" s="10">
        <f t="shared" si="76"/>
        <v>167200</v>
      </c>
      <c r="I122" s="10">
        <f t="shared" si="77"/>
        <v>1047200</v>
      </c>
      <c r="J122" s="10">
        <f>G122*0.025</f>
        <v>22000</v>
      </c>
      <c r="K122" s="10">
        <f t="shared" si="78"/>
        <v>9715.2000000000007</v>
      </c>
      <c r="L122" s="10">
        <f t="shared" si="79"/>
        <v>25080</v>
      </c>
      <c r="M122" s="58"/>
      <c r="N122" s="10">
        <f t="shared" si="80"/>
        <v>56795.199999999997</v>
      </c>
      <c r="O122" s="10">
        <f t="shared" si="81"/>
        <v>990404.8</v>
      </c>
      <c r="P122" s="57">
        <v>45280</v>
      </c>
      <c r="Q122" s="6" t="s">
        <v>24</v>
      </c>
      <c r="R122" s="9">
        <v>990405</v>
      </c>
      <c r="S122" s="10">
        <f>+O122-R122</f>
        <v>-0.19999999995343387</v>
      </c>
      <c r="T122" s="6" t="s">
        <v>25</v>
      </c>
    </row>
    <row r="123" spans="1:20">
      <c r="A123" s="143"/>
      <c r="B123" s="6" t="s">
        <v>248</v>
      </c>
      <c r="C123" s="6" t="s">
        <v>21</v>
      </c>
      <c r="D123" s="7" t="s">
        <v>47</v>
      </c>
      <c r="E123" s="8">
        <v>45219</v>
      </c>
      <c r="F123" s="7" t="s">
        <v>249</v>
      </c>
      <c r="G123" s="49">
        <v>870000</v>
      </c>
      <c r="H123" s="10">
        <f t="shared" si="76"/>
        <v>165300</v>
      </c>
      <c r="I123" s="10">
        <f t="shared" si="77"/>
        <v>1035300</v>
      </c>
      <c r="J123" s="10"/>
      <c r="K123" s="10">
        <f t="shared" si="78"/>
        <v>9604.7999999999993</v>
      </c>
      <c r="L123" s="10">
        <f t="shared" si="79"/>
        <v>24795</v>
      </c>
      <c r="M123" s="58">
        <v>16712</v>
      </c>
      <c r="N123" s="10">
        <f t="shared" si="80"/>
        <v>51111.8</v>
      </c>
      <c r="O123" s="10">
        <f t="shared" si="81"/>
        <v>984188.2</v>
      </c>
      <c r="P123" s="57">
        <v>45254</v>
      </c>
      <c r="Q123" s="6" t="s">
        <v>24</v>
      </c>
      <c r="R123" s="9">
        <v>984188</v>
      </c>
      <c r="S123" s="10">
        <f t="shared" si="82"/>
        <v>0.19999999995343387</v>
      </c>
      <c r="T123" s="6" t="s">
        <v>25</v>
      </c>
    </row>
    <row r="124" spans="1:20">
      <c r="A124" s="143"/>
      <c r="B124" s="86" t="s">
        <v>250</v>
      </c>
      <c r="C124" s="86" t="s">
        <v>173</v>
      </c>
      <c r="D124" s="7" t="s">
        <v>238</v>
      </c>
      <c r="E124" s="8">
        <v>45219</v>
      </c>
      <c r="F124" s="7" t="s">
        <v>251</v>
      </c>
      <c r="G124" s="9">
        <v>1400000</v>
      </c>
      <c r="H124" s="10">
        <f>G124*0.19</f>
        <v>266000</v>
      </c>
      <c r="I124" s="10">
        <f>G124+H124</f>
        <v>1666000</v>
      </c>
      <c r="J124" s="10">
        <f>G124*0.025</f>
        <v>35000</v>
      </c>
      <c r="K124" s="10">
        <f t="shared" si="78"/>
        <v>15455.999999999998</v>
      </c>
      <c r="L124" s="10">
        <f t="shared" si="79"/>
        <v>39900</v>
      </c>
      <c r="M124" s="58">
        <v>26193</v>
      </c>
      <c r="N124" s="10">
        <f t="shared" si="80"/>
        <v>116549</v>
      </c>
      <c r="O124" s="10">
        <f t="shared" si="81"/>
        <v>1549451</v>
      </c>
      <c r="P124" s="57">
        <v>45254</v>
      </c>
      <c r="Q124" s="6" t="s">
        <v>24</v>
      </c>
      <c r="R124" s="9">
        <v>1549451</v>
      </c>
      <c r="S124" s="10">
        <f>+O124-R124</f>
        <v>0</v>
      </c>
      <c r="T124" s="6" t="s">
        <v>25</v>
      </c>
    </row>
    <row r="125" spans="1:20">
      <c r="A125" s="143"/>
      <c r="B125" s="11"/>
      <c r="C125" s="11"/>
      <c r="D125" s="12"/>
      <c r="E125" s="11"/>
      <c r="F125" s="12"/>
      <c r="G125" s="87">
        <f>SUM(G116:G124)</f>
        <v>8456000</v>
      </c>
      <c r="H125" s="87">
        <f t="shared" ref="H125:R125" si="83">SUM(H116:H124)</f>
        <v>1606640</v>
      </c>
      <c r="I125" s="87">
        <f t="shared" si="83"/>
        <v>10062640</v>
      </c>
      <c r="J125" s="87">
        <f t="shared" si="83"/>
        <v>169400</v>
      </c>
      <c r="K125" s="87">
        <f t="shared" si="83"/>
        <v>93354.240000000005</v>
      </c>
      <c r="L125" s="87">
        <f t="shared" si="83"/>
        <v>240996</v>
      </c>
      <c r="M125" s="87">
        <f t="shared" si="83"/>
        <v>127021</v>
      </c>
      <c r="N125" s="87">
        <f t="shared" si="83"/>
        <v>630771.24</v>
      </c>
      <c r="O125" s="87">
        <f>SUM(O116:O124)</f>
        <v>9431868.7599999979</v>
      </c>
      <c r="P125" s="87">
        <f t="shared" si="83"/>
        <v>407338</v>
      </c>
      <c r="Q125" s="87">
        <f t="shared" si="83"/>
        <v>0</v>
      </c>
      <c r="R125" s="87">
        <f t="shared" si="83"/>
        <v>9432076</v>
      </c>
      <c r="S125" s="87">
        <f>SUM(S116:S124)</f>
        <v>-207.23999999998887</v>
      </c>
      <c r="T125" s="11"/>
    </row>
    <row r="127" spans="1:20" ht="15" customHeight="1">
      <c r="A127" s="144" t="s">
        <v>252</v>
      </c>
      <c r="B127" s="6" t="s">
        <v>253</v>
      </c>
      <c r="C127" s="6" t="s">
        <v>21</v>
      </c>
      <c r="D127" s="7" t="s">
        <v>47</v>
      </c>
      <c r="E127" s="8">
        <v>45240</v>
      </c>
      <c r="F127" s="7" t="s">
        <v>254</v>
      </c>
      <c r="G127" s="49">
        <v>210000</v>
      </c>
      <c r="H127" s="10">
        <f>G127*0.19</f>
        <v>39900</v>
      </c>
      <c r="I127" s="10">
        <f>G127+H127</f>
        <v>249900</v>
      </c>
      <c r="J127" s="10">
        <f>G127*0.025</f>
        <v>5250</v>
      </c>
      <c r="K127" s="10"/>
      <c r="L127" s="10">
        <f>H127*0.15</f>
        <v>5985</v>
      </c>
      <c r="M127" s="58">
        <v>3975</v>
      </c>
      <c r="N127" s="10">
        <f t="shared" ref="N127:N140" si="84">SUM(J127:M127)</f>
        <v>15210</v>
      </c>
      <c r="O127" s="10">
        <f>+I127-N127</f>
        <v>234690</v>
      </c>
      <c r="P127" s="57">
        <v>45280</v>
      </c>
      <c r="Q127" s="6" t="s">
        <v>24</v>
      </c>
      <c r="R127" s="9">
        <v>234690</v>
      </c>
      <c r="S127" s="10">
        <f t="shared" ref="S127:S140" si="85">+O127-R127</f>
        <v>0</v>
      </c>
      <c r="T127" s="6" t="s">
        <v>25</v>
      </c>
    </row>
    <row r="128" spans="1:20">
      <c r="A128" s="145"/>
      <c r="B128" s="6" t="s">
        <v>255</v>
      </c>
      <c r="C128" s="6" t="s">
        <v>21</v>
      </c>
      <c r="D128" s="7" t="s">
        <v>47</v>
      </c>
      <c r="E128" s="8">
        <v>45240</v>
      </c>
      <c r="F128" s="7" t="s">
        <v>256</v>
      </c>
      <c r="G128" s="49">
        <v>1760000</v>
      </c>
      <c r="H128" s="10">
        <f>G128*0.19</f>
        <v>334400</v>
      </c>
      <c r="I128" s="10">
        <f>G128+H128</f>
        <v>2094400</v>
      </c>
      <c r="J128" s="10">
        <f>G128*0.025</f>
        <v>44000</v>
      </c>
      <c r="K128" s="10">
        <f>G128*11.04/1000</f>
        <v>19430.400000000001</v>
      </c>
      <c r="L128" s="10">
        <f>H128*0.15</f>
        <v>50160</v>
      </c>
      <c r="M128" s="58">
        <v>16464</v>
      </c>
      <c r="N128" s="10">
        <f t="shared" si="84"/>
        <v>130054.39999999999</v>
      </c>
      <c r="O128" s="10">
        <f t="shared" ref="O128:O140" si="86">+I128-N128</f>
        <v>1964345.6</v>
      </c>
      <c r="P128" s="57">
        <v>45280</v>
      </c>
      <c r="Q128" s="6" t="s">
        <v>24</v>
      </c>
      <c r="R128" s="9">
        <v>1964346</v>
      </c>
      <c r="S128" s="10">
        <f t="shared" si="85"/>
        <v>-0.39999999990686774</v>
      </c>
      <c r="T128" s="6" t="s">
        <v>25</v>
      </c>
    </row>
    <row r="129" spans="1:20">
      <c r="A129" s="145"/>
      <c r="B129" s="6" t="s">
        <v>257</v>
      </c>
      <c r="C129" s="6" t="s">
        <v>21</v>
      </c>
      <c r="D129" s="7" t="s">
        <v>47</v>
      </c>
      <c r="E129" s="8">
        <v>45240</v>
      </c>
      <c r="F129" s="7" t="s">
        <v>82</v>
      </c>
      <c r="G129" s="49">
        <v>2000000</v>
      </c>
      <c r="H129" s="10">
        <f>G129*0.19</f>
        <v>380000</v>
      </c>
      <c r="I129" s="10">
        <f>G129+H129</f>
        <v>2380000</v>
      </c>
      <c r="J129" s="10">
        <f>G129*0.025</f>
        <v>50000</v>
      </c>
      <c r="K129" s="10"/>
      <c r="L129" s="10">
        <f>H129*0.15</f>
        <v>57000</v>
      </c>
      <c r="M129" s="58">
        <v>18930</v>
      </c>
      <c r="N129" s="10">
        <f t="shared" si="84"/>
        <v>125930</v>
      </c>
      <c r="O129" s="10">
        <f t="shared" si="86"/>
        <v>2254070</v>
      </c>
      <c r="P129" s="57">
        <v>45280</v>
      </c>
      <c r="Q129" s="6" t="s">
        <v>24</v>
      </c>
      <c r="R129" s="9">
        <v>2254070</v>
      </c>
      <c r="S129" s="10">
        <f t="shared" si="85"/>
        <v>0</v>
      </c>
      <c r="T129" s="6" t="s">
        <v>25</v>
      </c>
    </row>
    <row r="130" spans="1:20">
      <c r="A130" s="145"/>
      <c r="B130" s="6" t="s">
        <v>258</v>
      </c>
      <c r="C130" s="6" t="s">
        <v>21</v>
      </c>
      <c r="D130" s="7" t="s">
        <v>47</v>
      </c>
      <c r="E130" s="8">
        <v>45240</v>
      </c>
      <c r="F130" s="7" t="s">
        <v>259</v>
      </c>
      <c r="G130" s="49">
        <v>1200000</v>
      </c>
      <c r="H130" s="10">
        <f>G130*0.19</f>
        <v>228000</v>
      </c>
      <c r="I130" s="10">
        <f>G130+H130</f>
        <v>1428000</v>
      </c>
      <c r="J130" s="10">
        <f>G130*0.025</f>
        <v>30000</v>
      </c>
      <c r="K130" s="10">
        <f>G130*11.04/1000</f>
        <v>13247.999999999998</v>
      </c>
      <c r="L130" s="10">
        <f>H130*0.15</f>
        <v>34200</v>
      </c>
      <c r="M130" s="58">
        <v>22451</v>
      </c>
      <c r="N130" s="10">
        <f t="shared" si="84"/>
        <v>99899</v>
      </c>
      <c r="O130" s="10">
        <f t="shared" si="86"/>
        <v>1328101</v>
      </c>
      <c r="P130" s="57">
        <v>45280</v>
      </c>
      <c r="Q130" s="6" t="s">
        <v>24</v>
      </c>
      <c r="R130" s="9">
        <v>1328101</v>
      </c>
      <c r="S130" s="10">
        <f t="shared" si="85"/>
        <v>0</v>
      </c>
      <c r="T130" s="6" t="s">
        <v>25</v>
      </c>
    </row>
    <row r="131" spans="1:20">
      <c r="A131" s="145"/>
      <c r="B131" s="6" t="s">
        <v>260</v>
      </c>
      <c r="C131" s="6" t="s">
        <v>21</v>
      </c>
      <c r="D131" s="7" t="s">
        <v>47</v>
      </c>
      <c r="E131" s="8">
        <v>45240</v>
      </c>
      <c r="F131" s="7" t="s">
        <v>261</v>
      </c>
      <c r="G131" s="49">
        <v>1680000</v>
      </c>
      <c r="H131" s="10">
        <f>G131*0.19</f>
        <v>319200</v>
      </c>
      <c r="I131" s="10">
        <f>G131+H131</f>
        <v>1999200</v>
      </c>
      <c r="J131" s="10">
        <f>G131*0.025</f>
        <v>42000</v>
      </c>
      <c r="K131" s="10">
        <f>G131*11.04/1000</f>
        <v>18547.2</v>
      </c>
      <c r="L131" s="10">
        <f>H131*0.15</f>
        <v>47880</v>
      </c>
      <c r="M131" s="58">
        <v>0</v>
      </c>
      <c r="N131" s="10">
        <f t="shared" si="84"/>
        <v>108427.2</v>
      </c>
      <c r="O131" s="10">
        <f t="shared" si="86"/>
        <v>1890772.8</v>
      </c>
      <c r="P131" s="57">
        <v>45296</v>
      </c>
      <c r="Q131" s="6" t="s">
        <v>24</v>
      </c>
      <c r="R131" s="9">
        <v>1890773</v>
      </c>
      <c r="S131" s="10">
        <f t="shared" si="85"/>
        <v>-0.19999999995343387</v>
      </c>
      <c r="T131" s="6" t="s">
        <v>25</v>
      </c>
    </row>
    <row r="132" spans="1:20">
      <c r="A132" s="145"/>
      <c r="B132" s="6" t="s">
        <v>262</v>
      </c>
      <c r="C132" s="6" t="s">
        <v>21</v>
      </c>
      <c r="D132" s="7" t="s">
        <v>47</v>
      </c>
      <c r="E132" s="8">
        <v>45248</v>
      </c>
      <c r="F132" s="7" t="s">
        <v>82</v>
      </c>
      <c r="G132" s="49">
        <v>4000000</v>
      </c>
      <c r="H132" s="10">
        <f t="shared" ref="H132:H138" si="87">G132*0.19</f>
        <v>760000</v>
      </c>
      <c r="I132" s="10">
        <f t="shared" ref="I132:I138" si="88">G132+H132</f>
        <v>4760000</v>
      </c>
      <c r="J132" s="7"/>
      <c r="K132" s="7"/>
      <c r="L132" s="7"/>
      <c r="M132" s="58">
        <v>0</v>
      </c>
      <c r="N132" s="10">
        <f t="shared" si="84"/>
        <v>0</v>
      </c>
      <c r="O132" s="10">
        <f t="shared" si="86"/>
        <v>4760000</v>
      </c>
      <c r="P132" s="7"/>
      <c r="Q132" s="6"/>
      <c r="R132" s="9"/>
      <c r="S132" s="10">
        <f t="shared" si="85"/>
        <v>4760000</v>
      </c>
      <c r="T132" s="6"/>
    </row>
    <row r="133" spans="1:20">
      <c r="A133" s="145"/>
      <c r="B133" s="6" t="s">
        <v>263</v>
      </c>
      <c r="C133" s="6" t="s">
        <v>94</v>
      </c>
      <c r="D133" s="7" t="s">
        <v>95</v>
      </c>
      <c r="E133" s="8">
        <v>45248</v>
      </c>
      <c r="F133" s="7" t="s">
        <v>82</v>
      </c>
      <c r="G133" s="49">
        <v>2000000</v>
      </c>
      <c r="H133" s="10">
        <f t="shared" si="87"/>
        <v>380000</v>
      </c>
      <c r="I133" s="10">
        <f t="shared" si="88"/>
        <v>2380000</v>
      </c>
      <c r="J133" s="10">
        <f>G133*0.025</f>
        <v>50000</v>
      </c>
      <c r="K133" s="10">
        <f>G133*11.04/1000</f>
        <v>22080</v>
      </c>
      <c r="L133" s="10">
        <f>H133*0.15</f>
        <v>57000</v>
      </c>
      <c r="M133" s="58">
        <v>18709</v>
      </c>
      <c r="N133" s="10">
        <f t="shared" si="84"/>
        <v>147789</v>
      </c>
      <c r="O133" s="10">
        <f t="shared" si="86"/>
        <v>2232211</v>
      </c>
      <c r="P133" s="57">
        <v>45280</v>
      </c>
      <c r="Q133" s="6" t="s">
        <v>24</v>
      </c>
      <c r="R133" s="9">
        <v>2232211</v>
      </c>
      <c r="S133" s="10">
        <f t="shared" si="85"/>
        <v>0</v>
      </c>
      <c r="T133" s="6" t="s">
        <v>25</v>
      </c>
    </row>
    <row r="134" spans="1:20">
      <c r="A134" s="145"/>
      <c r="B134" s="6" t="s">
        <v>264</v>
      </c>
      <c r="C134" s="6" t="s">
        <v>21</v>
      </c>
      <c r="D134" s="7" t="s">
        <v>47</v>
      </c>
      <c r="E134" s="8">
        <v>45248</v>
      </c>
      <c r="F134" s="7" t="s">
        <v>82</v>
      </c>
      <c r="G134" s="49">
        <v>4000000</v>
      </c>
      <c r="H134" s="10">
        <f t="shared" si="87"/>
        <v>760000</v>
      </c>
      <c r="I134" s="10">
        <f t="shared" si="88"/>
        <v>4760000</v>
      </c>
      <c r="J134" s="10">
        <f>G134*0.025</f>
        <v>100000</v>
      </c>
      <c r="K134" s="10">
        <f>G134*11.04/1000</f>
        <v>44160</v>
      </c>
      <c r="L134" s="10">
        <f>H134*0.15</f>
        <v>114000</v>
      </c>
      <c r="M134" s="58">
        <v>37418</v>
      </c>
      <c r="N134" s="10">
        <f t="shared" si="84"/>
        <v>295578</v>
      </c>
      <c r="O134" s="10">
        <f t="shared" si="86"/>
        <v>4464422</v>
      </c>
      <c r="P134" s="57">
        <v>45287</v>
      </c>
      <c r="Q134" s="6" t="s">
        <v>24</v>
      </c>
      <c r="R134" s="9">
        <v>4464422</v>
      </c>
      <c r="S134" s="10">
        <f t="shared" si="85"/>
        <v>0</v>
      </c>
      <c r="T134" s="6" t="s">
        <v>25</v>
      </c>
    </row>
    <row r="135" spans="1:20">
      <c r="A135" s="145"/>
      <c r="B135" s="6" t="s">
        <v>265</v>
      </c>
      <c r="C135" s="6" t="s">
        <v>21</v>
      </c>
      <c r="D135" s="7" t="s">
        <v>47</v>
      </c>
      <c r="E135" s="8">
        <v>45248</v>
      </c>
      <c r="F135" s="7" t="s">
        <v>82</v>
      </c>
      <c r="G135" s="49">
        <v>2000000</v>
      </c>
      <c r="H135" s="10">
        <f t="shared" si="87"/>
        <v>380000</v>
      </c>
      <c r="I135" s="10">
        <f t="shared" si="88"/>
        <v>2380000</v>
      </c>
      <c r="J135" s="7"/>
      <c r="K135" s="7"/>
      <c r="L135" s="7"/>
      <c r="M135" s="58">
        <v>0</v>
      </c>
      <c r="N135" s="10">
        <f t="shared" si="84"/>
        <v>0</v>
      </c>
      <c r="O135" s="10">
        <f t="shared" si="86"/>
        <v>2380000</v>
      </c>
      <c r="P135" s="7"/>
      <c r="Q135" s="6"/>
      <c r="R135" s="9"/>
      <c r="S135" s="10">
        <f t="shared" si="85"/>
        <v>2380000</v>
      </c>
      <c r="T135" s="6"/>
    </row>
    <row r="136" spans="1:20">
      <c r="A136" s="145"/>
      <c r="B136" s="6" t="s">
        <v>266</v>
      </c>
      <c r="C136" s="6" t="s">
        <v>21</v>
      </c>
      <c r="D136" s="7" t="s">
        <v>47</v>
      </c>
      <c r="E136" s="8">
        <v>45248</v>
      </c>
      <c r="F136" s="7" t="s">
        <v>267</v>
      </c>
      <c r="G136" s="49">
        <v>3400000</v>
      </c>
      <c r="H136" s="10">
        <f t="shared" si="87"/>
        <v>646000</v>
      </c>
      <c r="I136" s="10">
        <f t="shared" si="88"/>
        <v>4046000</v>
      </c>
      <c r="J136" s="10">
        <f>G136*0.04</f>
        <v>136000</v>
      </c>
      <c r="K136" s="10">
        <f>G136*11.04/1000</f>
        <v>37536</v>
      </c>
      <c r="L136" s="10">
        <f>H136*0.15</f>
        <v>96900</v>
      </c>
      <c r="M136" s="58">
        <v>62591</v>
      </c>
      <c r="N136" s="10">
        <f t="shared" si="84"/>
        <v>333027</v>
      </c>
      <c r="O136" s="10">
        <f t="shared" si="86"/>
        <v>3712973</v>
      </c>
      <c r="P136" s="57">
        <v>45287</v>
      </c>
      <c r="Q136" s="6" t="s">
        <v>24</v>
      </c>
      <c r="R136" s="9">
        <v>3712973</v>
      </c>
      <c r="S136" s="10">
        <f t="shared" si="85"/>
        <v>0</v>
      </c>
      <c r="T136" s="6" t="s">
        <v>25</v>
      </c>
    </row>
    <row r="137" spans="1:20">
      <c r="A137" s="145"/>
      <c r="B137" s="6" t="s">
        <v>268</v>
      </c>
      <c r="C137" s="6" t="s">
        <v>21</v>
      </c>
      <c r="D137" s="7" t="s">
        <v>47</v>
      </c>
      <c r="E137" s="8">
        <v>45248</v>
      </c>
      <c r="F137" s="7" t="s">
        <v>269</v>
      </c>
      <c r="G137" s="49">
        <v>1200000</v>
      </c>
      <c r="H137" s="10">
        <f t="shared" si="87"/>
        <v>228000</v>
      </c>
      <c r="I137" s="10">
        <f t="shared" si="88"/>
        <v>1428000</v>
      </c>
      <c r="J137" s="10">
        <f>G137*0.025</f>
        <v>30000</v>
      </c>
      <c r="K137" s="10">
        <f>G137*11.04/1000</f>
        <v>13247.999999999998</v>
      </c>
      <c r="L137" s="10">
        <f>H137*0.15</f>
        <v>34200</v>
      </c>
      <c r="M137" s="58">
        <v>22451</v>
      </c>
      <c r="N137" s="10">
        <f t="shared" si="84"/>
        <v>99899</v>
      </c>
      <c r="O137" s="10">
        <f t="shared" si="86"/>
        <v>1328101</v>
      </c>
      <c r="P137" s="57">
        <v>45287</v>
      </c>
      <c r="Q137" s="6" t="s">
        <v>24</v>
      </c>
      <c r="R137" s="9">
        <v>1328101</v>
      </c>
      <c r="S137" s="10">
        <f t="shared" si="85"/>
        <v>0</v>
      </c>
      <c r="T137" s="6" t="s">
        <v>25</v>
      </c>
    </row>
    <row r="138" spans="1:20">
      <c r="A138" s="145"/>
      <c r="B138" s="6" t="s">
        <v>270</v>
      </c>
      <c r="C138" s="6" t="s">
        <v>21</v>
      </c>
      <c r="D138" s="7" t="s">
        <v>47</v>
      </c>
      <c r="E138" s="8">
        <v>45248</v>
      </c>
      <c r="F138" s="7" t="s">
        <v>269</v>
      </c>
      <c r="G138" s="49">
        <v>600000</v>
      </c>
      <c r="H138" s="10">
        <f t="shared" si="87"/>
        <v>114000</v>
      </c>
      <c r="I138" s="10">
        <f t="shared" si="88"/>
        <v>714000</v>
      </c>
      <c r="J138" s="10">
        <f>G138*0.025</f>
        <v>15000</v>
      </c>
      <c r="K138" s="10">
        <f>G138*11.04/1000</f>
        <v>6623.9999999999991</v>
      </c>
      <c r="L138" s="10">
        <f>H138*0.15</f>
        <v>17100</v>
      </c>
      <c r="M138" s="58">
        <v>11226</v>
      </c>
      <c r="N138" s="10">
        <f t="shared" si="84"/>
        <v>49950</v>
      </c>
      <c r="O138" s="10">
        <f t="shared" si="86"/>
        <v>664050</v>
      </c>
      <c r="P138" s="57">
        <v>45287</v>
      </c>
      <c r="Q138" s="6" t="s">
        <v>24</v>
      </c>
      <c r="R138" s="9">
        <v>664050</v>
      </c>
      <c r="S138" s="10">
        <f t="shared" si="85"/>
        <v>0</v>
      </c>
      <c r="T138" s="6" t="s">
        <v>25</v>
      </c>
    </row>
    <row r="139" spans="1:20">
      <c r="A139" s="145"/>
      <c r="B139" s="6" t="s">
        <v>271</v>
      </c>
      <c r="C139" s="6" t="s">
        <v>21</v>
      </c>
      <c r="D139" s="7" t="s">
        <v>47</v>
      </c>
      <c r="E139" s="8">
        <v>45248</v>
      </c>
      <c r="F139" s="7" t="s">
        <v>151</v>
      </c>
      <c r="G139" s="49">
        <v>3900000</v>
      </c>
      <c r="H139" s="10">
        <f>G139*0.19</f>
        <v>741000</v>
      </c>
      <c r="I139" s="10">
        <f>G139+H139</f>
        <v>4641000</v>
      </c>
      <c r="J139" s="7"/>
      <c r="K139" s="7"/>
      <c r="L139" s="7"/>
      <c r="M139" s="58">
        <v>0</v>
      </c>
      <c r="N139" s="10">
        <f t="shared" si="84"/>
        <v>0</v>
      </c>
      <c r="O139" s="10">
        <f t="shared" si="86"/>
        <v>4641000</v>
      </c>
      <c r="P139" s="7"/>
      <c r="Q139" s="6"/>
      <c r="R139" s="9"/>
      <c r="S139" s="10">
        <f t="shared" si="85"/>
        <v>4641000</v>
      </c>
      <c r="T139" s="6"/>
    </row>
    <row r="140" spans="1:20">
      <c r="A140" s="145"/>
      <c r="B140" s="6" t="s">
        <v>272</v>
      </c>
      <c r="C140" s="6" t="s">
        <v>21</v>
      </c>
      <c r="D140" s="7" t="s">
        <v>47</v>
      </c>
      <c r="E140" s="8">
        <v>45248</v>
      </c>
      <c r="F140" s="7" t="s">
        <v>151</v>
      </c>
      <c r="G140" s="49">
        <v>390000</v>
      </c>
      <c r="H140" s="10">
        <f>G140*0.19</f>
        <v>74100</v>
      </c>
      <c r="I140" s="10">
        <f>G140+H140</f>
        <v>464100</v>
      </c>
      <c r="J140" s="10">
        <f>G140*0.04</f>
        <v>15600</v>
      </c>
      <c r="K140" s="10">
        <f>G140*11.04/1000</f>
        <v>4305.6000000000004</v>
      </c>
      <c r="L140" s="10">
        <f>H140*0.15</f>
        <v>11115</v>
      </c>
      <c r="M140" s="58">
        <v>0</v>
      </c>
      <c r="N140" s="10">
        <f t="shared" si="84"/>
        <v>31020.6</v>
      </c>
      <c r="O140" s="10">
        <f t="shared" si="86"/>
        <v>433079.4</v>
      </c>
      <c r="P140" s="57">
        <v>45296</v>
      </c>
      <c r="Q140" s="6" t="s">
        <v>24</v>
      </c>
      <c r="R140" s="9">
        <v>433079</v>
      </c>
      <c r="S140" s="10">
        <f t="shared" si="85"/>
        <v>0.40000000002328306</v>
      </c>
      <c r="T140" s="6" t="s">
        <v>25</v>
      </c>
    </row>
    <row r="141" spans="1:20">
      <c r="A141" s="152"/>
      <c r="B141" s="11"/>
      <c r="C141" s="11"/>
      <c r="D141" s="12"/>
      <c r="E141" s="11"/>
      <c r="F141" s="12"/>
      <c r="G141" s="87">
        <f>SUM(G127:G140)</f>
        <v>28340000</v>
      </c>
      <c r="H141" s="87">
        <f>SUM(H127:H140)</f>
        <v>5384600</v>
      </c>
      <c r="I141" s="87">
        <f>SUM(I127:I140)</f>
        <v>33724600</v>
      </c>
      <c r="J141" s="87">
        <f t="shared" ref="J141:T141" si="89">SUM(J127:J140)</f>
        <v>517850</v>
      </c>
      <c r="K141" s="87">
        <f t="shared" si="89"/>
        <v>179179.2</v>
      </c>
      <c r="L141" s="87">
        <f t="shared" si="89"/>
        <v>525540</v>
      </c>
      <c r="M141" s="87">
        <f t="shared" si="89"/>
        <v>214215</v>
      </c>
      <c r="N141" s="87">
        <f t="shared" si="89"/>
        <v>1436784.2000000002</v>
      </c>
      <c r="O141" s="87">
        <f>SUM(O127:O140)</f>
        <v>32287815.799999997</v>
      </c>
      <c r="P141" s="87">
        <f t="shared" si="89"/>
        <v>498140</v>
      </c>
      <c r="Q141" s="87">
        <f t="shared" si="89"/>
        <v>0</v>
      </c>
      <c r="R141" s="87">
        <f t="shared" si="89"/>
        <v>20506816</v>
      </c>
      <c r="S141" s="87">
        <f>SUM(S127:S140)</f>
        <v>11780999.800000001</v>
      </c>
      <c r="T141" s="87">
        <f t="shared" si="89"/>
        <v>0</v>
      </c>
    </row>
    <row r="143" spans="1:20" ht="15" customHeight="1">
      <c r="A143" s="144" t="s">
        <v>273</v>
      </c>
      <c r="B143" s="6" t="s">
        <v>274</v>
      </c>
      <c r="C143" s="6" t="s">
        <v>21</v>
      </c>
      <c r="D143" s="7" t="s">
        <v>47</v>
      </c>
      <c r="E143" s="8">
        <v>45280</v>
      </c>
      <c r="F143" s="108" t="s">
        <v>275</v>
      </c>
      <c r="G143" s="49">
        <v>2700000</v>
      </c>
      <c r="H143" s="10">
        <f t="shared" ref="H143:H152" si="90">G143*0.19</f>
        <v>513000</v>
      </c>
      <c r="I143" s="10">
        <f t="shared" ref="I143:I152" si="91">G143+H143</f>
        <v>3213000</v>
      </c>
      <c r="J143" s="10">
        <f t="shared" ref="J143:J151" si="92">G143*0.025</f>
        <v>67500</v>
      </c>
      <c r="K143" s="10">
        <f t="shared" ref="K143:K163" si="93">G143*11.04/1000</f>
        <v>29807.999999999996</v>
      </c>
      <c r="L143" s="10">
        <f t="shared" ref="L143:L163" si="94">H143*0.15</f>
        <v>76950</v>
      </c>
      <c r="M143" s="58">
        <v>50515</v>
      </c>
      <c r="N143" s="10">
        <f t="shared" ref="N143:N152" si="95">SUM(J143:M143)</f>
        <v>224773</v>
      </c>
      <c r="O143" s="10">
        <f t="shared" ref="O143:O166" si="96">+I143-N143</f>
        <v>2988227</v>
      </c>
      <c r="P143" s="57">
        <v>45317</v>
      </c>
      <c r="Q143" s="6" t="s">
        <v>24</v>
      </c>
      <c r="R143" s="9">
        <v>2988227</v>
      </c>
      <c r="S143" s="10">
        <f t="shared" ref="S143:S156" si="97">+O143-R143</f>
        <v>0</v>
      </c>
      <c r="T143" s="6" t="s">
        <v>25</v>
      </c>
    </row>
    <row r="144" spans="1:20">
      <c r="A144" s="145"/>
      <c r="B144" s="6" t="s">
        <v>276</v>
      </c>
      <c r="C144" s="6" t="s">
        <v>21</v>
      </c>
      <c r="D144" s="7" t="s">
        <v>47</v>
      </c>
      <c r="E144" s="8">
        <v>45280</v>
      </c>
      <c r="F144" s="108" t="s">
        <v>275</v>
      </c>
      <c r="G144" s="49">
        <v>2700000</v>
      </c>
      <c r="H144" s="10">
        <f t="shared" si="90"/>
        <v>513000</v>
      </c>
      <c r="I144" s="10">
        <f t="shared" si="91"/>
        <v>3213000</v>
      </c>
      <c r="J144" s="10">
        <f t="shared" si="92"/>
        <v>67500</v>
      </c>
      <c r="K144" s="10">
        <f t="shared" si="93"/>
        <v>29807.999999999996</v>
      </c>
      <c r="L144" s="10">
        <f t="shared" si="94"/>
        <v>76950</v>
      </c>
      <c r="M144" s="58">
        <v>505148</v>
      </c>
      <c r="N144" s="10">
        <f t="shared" si="95"/>
        <v>679406</v>
      </c>
      <c r="O144" s="10">
        <f t="shared" si="96"/>
        <v>2533594</v>
      </c>
      <c r="P144" s="57">
        <v>45317</v>
      </c>
      <c r="Q144" s="6" t="s">
        <v>24</v>
      </c>
      <c r="R144" s="9">
        <v>2533594</v>
      </c>
      <c r="S144" s="10">
        <f t="shared" si="97"/>
        <v>0</v>
      </c>
      <c r="T144" s="6" t="s">
        <v>25</v>
      </c>
    </row>
    <row r="145" spans="1:20">
      <c r="A145" s="145"/>
      <c r="B145" s="6" t="s">
        <v>277</v>
      </c>
      <c r="C145" s="6" t="s">
        <v>21</v>
      </c>
      <c r="D145" s="7" t="s">
        <v>47</v>
      </c>
      <c r="E145" s="8">
        <v>45280</v>
      </c>
      <c r="F145" s="7" t="s">
        <v>278</v>
      </c>
      <c r="G145" s="49">
        <v>4550000</v>
      </c>
      <c r="H145" s="10">
        <f t="shared" si="90"/>
        <v>864500</v>
      </c>
      <c r="I145" s="10">
        <f t="shared" si="91"/>
        <v>5414500</v>
      </c>
      <c r="J145" s="10">
        <f t="shared" si="92"/>
        <v>113750</v>
      </c>
      <c r="K145" s="10">
        <f t="shared" si="93"/>
        <v>50231.999999999993</v>
      </c>
      <c r="L145" s="10">
        <f t="shared" si="94"/>
        <v>129675</v>
      </c>
      <c r="M145" s="58">
        <v>85127</v>
      </c>
      <c r="N145" s="10">
        <f t="shared" si="95"/>
        <v>378784</v>
      </c>
      <c r="O145" s="10">
        <f t="shared" si="96"/>
        <v>5035716</v>
      </c>
      <c r="P145" s="57">
        <v>45317</v>
      </c>
      <c r="Q145" s="6" t="s">
        <v>24</v>
      </c>
      <c r="R145" s="9">
        <v>5035716</v>
      </c>
      <c r="S145" s="10">
        <f t="shared" si="97"/>
        <v>0</v>
      </c>
      <c r="T145" s="6" t="s">
        <v>25</v>
      </c>
    </row>
    <row r="146" spans="1:20">
      <c r="A146" s="145"/>
      <c r="B146" s="6" t="s">
        <v>279</v>
      </c>
      <c r="C146" s="6" t="s">
        <v>21</v>
      </c>
      <c r="D146" s="7" t="s">
        <v>47</v>
      </c>
      <c r="E146" s="8">
        <v>45280</v>
      </c>
      <c r="F146" s="108" t="s">
        <v>280</v>
      </c>
      <c r="G146" s="49">
        <v>3840000</v>
      </c>
      <c r="H146" s="10">
        <f t="shared" si="90"/>
        <v>729600</v>
      </c>
      <c r="I146" s="10">
        <f t="shared" si="91"/>
        <v>4569600</v>
      </c>
      <c r="J146" s="10">
        <f t="shared" si="92"/>
        <v>96000</v>
      </c>
      <c r="K146" s="10">
        <f t="shared" si="93"/>
        <v>42393.599999999999</v>
      </c>
      <c r="L146" s="10">
        <f t="shared" si="94"/>
        <v>109440</v>
      </c>
      <c r="M146" s="58">
        <v>71843</v>
      </c>
      <c r="N146" s="10">
        <f t="shared" si="95"/>
        <v>319676.59999999998</v>
      </c>
      <c r="O146" s="10">
        <f t="shared" si="96"/>
        <v>4249923.4000000004</v>
      </c>
      <c r="P146" s="57">
        <v>45317</v>
      </c>
      <c r="Q146" s="6" t="s">
        <v>24</v>
      </c>
      <c r="R146" s="9">
        <v>4249923</v>
      </c>
      <c r="S146" s="10">
        <f t="shared" si="97"/>
        <v>0.40000000037252903</v>
      </c>
      <c r="T146" s="6" t="s">
        <v>25</v>
      </c>
    </row>
    <row r="147" spans="1:20">
      <c r="A147" s="145"/>
      <c r="B147" s="6" t="s">
        <v>281</v>
      </c>
      <c r="C147" s="6" t="s">
        <v>21</v>
      </c>
      <c r="D147" s="7" t="s">
        <v>47</v>
      </c>
      <c r="E147" s="8">
        <v>45280</v>
      </c>
      <c r="F147" s="7" t="s">
        <v>278</v>
      </c>
      <c r="G147" s="49">
        <v>2100000</v>
      </c>
      <c r="H147" s="10">
        <f t="shared" si="90"/>
        <v>399000</v>
      </c>
      <c r="I147" s="10">
        <f t="shared" si="91"/>
        <v>2499000</v>
      </c>
      <c r="J147" s="10">
        <f t="shared" si="92"/>
        <v>52500</v>
      </c>
      <c r="K147" s="10">
        <f t="shared" si="93"/>
        <v>23184</v>
      </c>
      <c r="L147" s="10">
        <f t="shared" si="94"/>
        <v>59850</v>
      </c>
      <c r="M147" s="58">
        <v>39289</v>
      </c>
      <c r="N147" s="10">
        <f t="shared" si="95"/>
        <v>174823</v>
      </c>
      <c r="O147" s="10">
        <f t="shared" si="96"/>
        <v>2324177</v>
      </c>
      <c r="P147" s="57">
        <v>45317</v>
      </c>
      <c r="Q147" s="6" t="s">
        <v>24</v>
      </c>
      <c r="R147" s="9">
        <v>2324177</v>
      </c>
      <c r="S147" s="10">
        <f t="shared" si="97"/>
        <v>0</v>
      </c>
      <c r="T147" s="6" t="s">
        <v>25</v>
      </c>
    </row>
    <row r="148" spans="1:20" ht="15" customHeight="1">
      <c r="A148" s="145"/>
      <c r="B148" s="6" t="s">
        <v>282</v>
      </c>
      <c r="C148" s="6" t="s">
        <v>21</v>
      </c>
      <c r="D148" s="7" t="s">
        <v>47</v>
      </c>
      <c r="E148" s="8">
        <v>45280</v>
      </c>
      <c r="F148" s="108" t="s">
        <v>278</v>
      </c>
      <c r="G148" s="49">
        <v>3250000</v>
      </c>
      <c r="H148" s="10">
        <f t="shared" si="90"/>
        <v>617500</v>
      </c>
      <c r="I148" s="10">
        <f t="shared" si="91"/>
        <v>3867500</v>
      </c>
      <c r="J148" s="10">
        <f t="shared" si="92"/>
        <v>81250</v>
      </c>
      <c r="K148" s="10">
        <f t="shared" si="93"/>
        <v>35880</v>
      </c>
      <c r="L148" s="10">
        <f t="shared" si="94"/>
        <v>92625</v>
      </c>
      <c r="M148" s="58">
        <v>60805</v>
      </c>
      <c r="N148" s="10">
        <f t="shared" si="95"/>
        <v>270560</v>
      </c>
      <c r="O148" s="10">
        <f t="shared" si="96"/>
        <v>3596940</v>
      </c>
      <c r="P148" s="57">
        <v>45317</v>
      </c>
      <c r="Q148" s="6" t="s">
        <v>24</v>
      </c>
      <c r="R148" s="9">
        <v>3596940</v>
      </c>
      <c r="S148" s="10">
        <f t="shared" si="97"/>
        <v>0</v>
      </c>
      <c r="T148" s="6" t="s">
        <v>25</v>
      </c>
    </row>
    <row r="149" spans="1:20">
      <c r="A149" s="145"/>
      <c r="B149" s="6" t="s">
        <v>283</v>
      </c>
      <c r="C149" s="6" t="s">
        <v>21</v>
      </c>
      <c r="D149" s="7" t="s">
        <v>47</v>
      </c>
      <c r="E149" s="8">
        <v>45280</v>
      </c>
      <c r="F149" s="108" t="s">
        <v>284</v>
      </c>
      <c r="G149" s="49">
        <v>890000</v>
      </c>
      <c r="H149" s="10">
        <f t="shared" si="90"/>
        <v>169100</v>
      </c>
      <c r="I149" s="10">
        <f t="shared" si="91"/>
        <v>1059100</v>
      </c>
      <c r="J149" s="10">
        <f t="shared" si="92"/>
        <v>22250</v>
      </c>
      <c r="K149" s="10">
        <f t="shared" si="93"/>
        <v>9825.6</v>
      </c>
      <c r="L149" s="10">
        <f t="shared" si="94"/>
        <v>25365</v>
      </c>
      <c r="M149" s="58">
        <v>8326</v>
      </c>
      <c r="N149" s="10">
        <f t="shared" si="95"/>
        <v>65766.600000000006</v>
      </c>
      <c r="O149" s="10">
        <f t="shared" si="96"/>
        <v>993333.4</v>
      </c>
      <c r="P149" s="57">
        <v>45317</v>
      </c>
      <c r="Q149" s="6" t="s">
        <v>24</v>
      </c>
      <c r="R149" s="9">
        <v>993333</v>
      </c>
      <c r="S149" s="10">
        <f t="shared" si="97"/>
        <v>0.40000000002328306</v>
      </c>
      <c r="T149" s="6" t="s">
        <v>25</v>
      </c>
    </row>
    <row r="150" spans="1:20">
      <c r="A150" s="145"/>
      <c r="B150" s="6" t="s">
        <v>285</v>
      </c>
      <c r="C150" s="6" t="s">
        <v>21</v>
      </c>
      <c r="D150" s="7" t="s">
        <v>47</v>
      </c>
      <c r="E150" s="8">
        <v>45280</v>
      </c>
      <c r="F150" s="7" t="s">
        <v>249</v>
      </c>
      <c r="G150" s="49">
        <v>290000</v>
      </c>
      <c r="H150" s="10">
        <f t="shared" si="90"/>
        <v>55100</v>
      </c>
      <c r="I150" s="10">
        <f t="shared" si="91"/>
        <v>345100</v>
      </c>
      <c r="J150" s="10">
        <f t="shared" si="92"/>
        <v>7250</v>
      </c>
      <c r="K150" s="10">
        <f t="shared" si="93"/>
        <v>3201.5999999999995</v>
      </c>
      <c r="L150" s="10">
        <f t="shared" si="94"/>
        <v>8265</v>
      </c>
      <c r="M150" s="58">
        <v>5426</v>
      </c>
      <c r="N150" s="10">
        <f t="shared" si="95"/>
        <v>24142.6</v>
      </c>
      <c r="O150" s="10">
        <f t="shared" si="96"/>
        <v>320957.40000000002</v>
      </c>
      <c r="P150" s="57">
        <v>45317</v>
      </c>
      <c r="Q150" s="6" t="s">
        <v>24</v>
      </c>
      <c r="R150" s="9">
        <v>320957</v>
      </c>
      <c r="S150" s="10">
        <f t="shared" si="97"/>
        <v>0.40000000002328306</v>
      </c>
      <c r="T150" s="6" t="s">
        <v>25</v>
      </c>
    </row>
    <row r="151" spans="1:20">
      <c r="A151" s="145"/>
      <c r="B151" s="6" t="s">
        <v>286</v>
      </c>
      <c r="C151" s="86" t="s">
        <v>173</v>
      </c>
      <c r="D151" s="7" t="s">
        <v>238</v>
      </c>
      <c r="E151" s="8">
        <v>45280</v>
      </c>
      <c r="F151" s="108" t="s">
        <v>82</v>
      </c>
      <c r="G151" s="49">
        <v>2000000</v>
      </c>
      <c r="H151" s="10">
        <f t="shared" si="90"/>
        <v>380000</v>
      </c>
      <c r="I151" s="10">
        <f t="shared" si="91"/>
        <v>2380000</v>
      </c>
      <c r="J151" s="10">
        <f t="shared" si="92"/>
        <v>50000</v>
      </c>
      <c r="K151" s="10">
        <f t="shared" si="93"/>
        <v>22080</v>
      </c>
      <c r="L151" s="10">
        <f t="shared" si="94"/>
        <v>57000</v>
      </c>
      <c r="M151" s="58">
        <v>37418</v>
      </c>
      <c r="N151" s="10">
        <f t="shared" si="95"/>
        <v>166498</v>
      </c>
      <c r="O151" s="10">
        <f t="shared" si="96"/>
        <v>2213502</v>
      </c>
      <c r="P151" s="57">
        <v>45317</v>
      </c>
      <c r="Q151" s="6" t="s">
        <v>24</v>
      </c>
      <c r="R151" s="9">
        <v>2213502</v>
      </c>
      <c r="S151" s="10">
        <f t="shared" si="97"/>
        <v>0</v>
      </c>
      <c r="T151" s="6" t="s">
        <v>25</v>
      </c>
    </row>
    <row r="152" spans="1:20">
      <c r="A152" s="145"/>
      <c r="B152" s="6" t="s">
        <v>287</v>
      </c>
      <c r="C152" s="6" t="s">
        <v>21</v>
      </c>
      <c r="D152" s="7" t="s">
        <v>47</v>
      </c>
      <c r="E152" s="8">
        <v>45280</v>
      </c>
      <c r="F152" s="7" t="s">
        <v>151</v>
      </c>
      <c r="G152" s="49">
        <v>1580000</v>
      </c>
      <c r="H152" s="10">
        <f t="shared" si="90"/>
        <v>300200</v>
      </c>
      <c r="I152" s="10">
        <f t="shared" si="91"/>
        <v>1880200</v>
      </c>
      <c r="J152" s="10">
        <f t="shared" ref="J152:J159" si="98">G152*0.04</f>
        <v>63200</v>
      </c>
      <c r="K152" s="10">
        <f t="shared" si="93"/>
        <v>17443.2</v>
      </c>
      <c r="L152" s="10">
        <f t="shared" si="94"/>
        <v>45030</v>
      </c>
      <c r="M152" s="58"/>
      <c r="N152" s="10">
        <f t="shared" si="95"/>
        <v>125673.2</v>
      </c>
      <c r="O152" s="10">
        <f t="shared" si="96"/>
        <v>1754526.8</v>
      </c>
      <c r="P152" s="57">
        <v>45357</v>
      </c>
      <c r="Q152" s="6" t="s">
        <v>24</v>
      </c>
      <c r="R152" s="9">
        <v>1754527</v>
      </c>
      <c r="S152" s="10">
        <f t="shared" si="97"/>
        <v>-0.19999999995343387</v>
      </c>
      <c r="T152" s="6" t="s">
        <v>25</v>
      </c>
    </row>
    <row r="153" spans="1:20" ht="15" customHeight="1">
      <c r="A153" s="145"/>
      <c r="B153" s="6" t="s">
        <v>288</v>
      </c>
      <c r="C153" s="6" t="s">
        <v>21</v>
      </c>
      <c r="D153" s="7" t="s">
        <v>47</v>
      </c>
      <c r="E153" s="8">
        <v>45280</v>
      </c>
      <c r="F153" s="7" t="s">
        <v>151</v>
      </c>
      <c r="G153" s="49">
        <v>890000</v>
      </c>
      <c r="H153" s="10">
        <f t="shared" ref="H153:H163" si="99">G153*0.19</f>
        <v>169100</v>
      </c>
      <c r="I153" s="10">
        <f t="shared" ref="I153:I163" si="100">G153+H153</f>
        <v>1059100</v>
      </c>
      <c r="J153" s="10">
        <f t="shared" si="98"/>
        <v>35600</v>
      </c>
      <c r="K153" s="10">
        <f t="shared" si="93"/>
        <v>9825.6</v>
      </c>
      <c r="L153" s="10">
        <f t="shared" si="94"/>
        <v>25365</v>
      </c>
      <c r="M153" s="58"/>
      <c r="N153" s="10">
        <f t="shared" ref="N153:N163" si="101">SUM(J153:M153)</f>
        <v>70790.600000000006</v>
      </c>
      <c r="O153" s="10">
        <f t="shared" si="96"/>
        <v>988309.4</v>
      </c>
      <c r="P153" s="57">
        <v>45357</v>
      </c>
      <c r="Q153" s="6" t="s">
        <v>24</v>
      </c>
      <c r="R153" s="9">
        <v>988309</v>
      </c>
      <c r="S153" s="10">
        <f t="shared" si="97"/>
        <v>0.40000000002328306</v>
      </c>
      <c r="T153" s="6" t="s">
        <v>25</v>
      </c>
    </row>
    <row r="154" spans="1:20">
      <c r="A154" s="145"/>
      <c r="B154" s="6" t="s">
        <v>289</v>
      </c>
      <c r="C154" s="6" t="s">
        <v>21</v>
      </c>
      <c r="D154" s="7" t="s">
        <v>47</v>
      </c>
      <c r="E154" s="8">
        <v>45280</v>
      </c>
      <c r="F154" s="7" t="s">
        <v>151</v>
      </c>
      <c r="G154" s="49">
        <v>3200000</v>
      </c>
      <c r="H154" s="10">
        <f t="shared" si="99"/>
        <v>608000</v>
      </c>
      <c r="I154" s="10">
        <f t="shared" si="100"/>
        <v>3808000</v>
      </c>
      <c r="J154" s="10">
        <f t="shared" si="98"/>
        <v>128000</v>
      </c>
      <c r="K154" s="10">
        <f t="shared" si="93"/>
        <v>35328</v>
      </c>
      <c r="L154" s="10">
        <f t="shared" si="94"/>
        <v>91200</v>
      </c>
      <c r="M154" s="58"/>
      <c r="N154" s="10">
        <f t="shared" si="101"/>
        <v>254528</v>
      </c>
      <c r="O154" s="10">
        <f t="shared" si="96"/>
        <v>3553472</v>
      </c>
      <c r="P154" s="57">
        <v>45349</v>
      </c>
      <c r="Q154" s="6" t="s">
        <v>24</v>
      </c>
      <c r="R154" s="9">
        <v>3553472</v>
      </c>
      <c r="S154" s="10">
        <f t="shared" si="97"/>
        <v>0</v>
      </c>
      <c r="T154" s="6" t="s">
        <v>25</v>
      </c>
    </row>
    <row r="155" spans="1:20">
      <c r="A155" s="145"/>
      <c r="B155" s="6" t="s">
        <v>290</v>
      </c>
      <c r="C155" s="6" t="s">
        <v>21</v>
      </c>
      <c r="D155" s="7" t="s">
        <v>47</v>
      </c>
      <c r="E155" s="8">
        <v>45280</v>
      </c>
      <c r="F155" s="7" t="s">
        <v>151</v>
      </c>
      <c r="G155" s="49">
        <v>1470000</v>
      </c>
      <c r="H155" s="10">
        <f t="shared" si="99"/>
        <v>279300</v>
      </c>
      <c r="I155" s="10">
        <f t="shared" si="100"/>
        <v>1749300</v>
      </c>
      <c r="J155" s="10">
        <f t="shared" si="98"/>
        <v>58800</v>
      </c>
      <c r="K155" s="10">
        <f t="shared" si="93"/>
        <v>16228.799999999997</v>
      </c>
      <c r="L155" s="10">
        <f t="shared" si="94"/>
        <v>41895</v>
      </c>
      <c r="M155" s="58"/>
      <c r="N155" s="10">
        <f t="shared" si="101"/>
        <v>116923.8</v>
      </c>
      <c r="O155" s="10">
        <f t="shared" si="96"/>
        <v>1632376.2</v>
      </c>
      <c r="P155" s="57">
        <v>45349</v>
      </c>
      <c r="Q155" s="6" t="s">
        <v>24</v>
      </c>
      <c r="R155" s="9">
        <v>1632376</v>
      </c>
      <c r="S155" s="10">
        <f t="shared" si="97"/>
        <v>0.19999999995343387</v>
      </c>
      <c r="T155" s="6" t="s">
        <v>25</v>
      </c>
    </row>
    <row r="156" spans="1:20">
      <c r="A156" s="145"/>
      <c r="B156" s="6" t="s">
        <v>291</v>
      </c>
      <c r="C156" s="6" t="s">
        <v>21</v>
      </c>
      <c r="D156" s="7" t="s">
        <v>47</v>
      </c>
      <c r="E156" s="8">
        <v>45280</v>
      </c>
      <c r="F156" s="7" t="s">
        <v>151</v>
      </c>
      <c r="G156" s="49">
        <v>1600000</v>
      </c>
      <c r="H156" s="10">
        <f t="shared" si="99"/>
        <v>304000</v>
      </c>
      <c r="I156" s="10">
        <f t="shared" si="100"/>
        <v>1904000</v>
      </c>
      <c r="J156" s="10">
        <f t="shared" si="98"/>
        <v>64000</v>
      </c>
      <c r="K156" s="10">
        <f t="shared" si="93"/>
        <v>17664</v>
      </c>
      <c r="L156" s="10">
        <f t="shared" si="94"/>
        <v>45600</v>
      </c>
      <c r="M156" s="58"/>
      <c r="N156" s="10">
        <f t="shared" si="101"/>
        <v>127264</v>
      </c>
      <c r="O156" s="10">
        <f t="shared" si="96"/>
        <v>1776736</v>
      </c>
      <c r="P156" s="57">
        <v>45349</v>
      </c>
      <c r="Q156" s="6" t="s">
        <v>24</v>
      </c>
      <c r="R156" s="9">
        <v>1776736</v>
      </c>
      <c r="S156" s="10">
        <f t="shared" si="97"/>
        <v>0</v>
      </c>
      <c r="T156" s="6" t="s">
        <v>25</v>
      </c>
    </row>
    <row r="157" spans="1:20">
      <c r="A157" s="145"/>
      <c r="B157" s="6" t="s">
        <v>292</v>
      </c>
      <c r="C157" s="6" t="s">
        <v>21</v>
      </c>
      <c r="D157" s="7" t="s">
        <v>47</v>
      </c>
      <c r="E157" s="8">
        <v>45280</v>
      </c>
      <c r="F157" s="7" t="s">
        <v>151</v>
      </c>
      <c r="G157" s="49">
        <v>2470000</v>
      </c>
      <c r="H157" s="10">
        <f t="shared" si="99"/>
        <v>469300</v>
      </c>
      <c r="I157" s="10">
        <f t="shared" si="100"/>
        <v>2939300</v>
      </c>
      <c r="J157" s="10">
        <f t="shared" si="98"/>
        <v>98800</v>
      </c>
      <c r="K157" s="10">
        <f t="shared" si="93"/>
        <v>27268.799999999996</v>
      </c>
      <c r="L157" s="10">
        <f t="shared" si="94"/>
        <v>70395</v>
      </c>
      <c r="M157" s="58"/>
      <c r="N157" s="10">
        <f t="shared" si="101"/>
        <v>196463.8</v>
      </c>
      <c r="O157" s="10">
        <f t="shared" si="96"/>
        <v>2742836.2</v>
      </c>
      <c r="P157" s="57">
        <v>45349</v>
      </c>
      <c r="Q157" s="6" t="s">
        <v>24</v>
      </c>
      <c r="R157" s="9">
        <v>2742836</v>
      </c>
      <c r="S157" s="10">
        <f t="shared" ref="S157:S164" si="102">+O157-R157</f>
        <v>0.20000000018626451</v>
      </c>
      <c r="T157" s="6" t="s">
        <v>25</v>
      </c>
    </row>
    <row r="158" spans="1:20">
      <c r="A158" s="145"/>
      <c r="B158" s="6" t="s">
        <v>293</v>
      </c>
      <c r="C158" s="6" t="s">
        <v>21</v>
      </c>
      <c r="D158" s="7" t="s">
        <v>47</v>
      </c>
      <c r="E158" s="8">
        <v>45280</v>
      </c>
      <c r="F158" s="7" t="s">
        <v>151</v>
      </c>
      <c r="G158" s="49">
        <v>2660000</v>
      </c>
      <c r="H158" s="10">
        <f t="shared" si="99"/>
        <v>505400</v>
      </c>
      <c r="I158" s="10">
        <f t="shared" si="100"/>
        <v>3165400</v>
      </c>
      <c r="J158" s="10">
        <f t="shared" si="98"/>
        <v>106400</v>
      </c>
      <c r="K158" s="10">
        <f t="shared" si="93"/>
        <v>29366.399999999998</v>
      </c>
      <c r="L158" s="10">
        <f t="shared" si="94"/>
        <v>75810</v>
      </c>
      <c r="M158" s="58"/>
      <c r="N158" s="10">
        <f t="shared" si="101"/>
        <v>211576.4</v>
      </c>
      <c r="O158" s="10">
        <f t="shared" si="96"/>
        <v>2953823.6</v>
      </c>
      <c r="P158" s="57">
        <v>45357</v>
      </c>
      <c r="Q158" s="6" t="s">
        <v>24</v>
      </c>
      <c r="R158" s="9">
        <v>2953824</v>
      </c>
      <c r="S158" s="10">
        <f>+O158-R158</f>
        <v>-0.39999999990686774</v>
      </c>
      <c r="T158" s="6" t="s">
        <v>25</v>
      </c>
    </row>
    <row r="159" spans="1:20" ht="15" customHeight="1">
      <c r="A159" s="145"/>
      <c r="B159" s="6" t="s">
        <v>294</v>
      </c>
      <c r="C159" s="6" t="s">
        <v>21</v>
      </c>
      <c r="D159" s="7" t="s">
        <v>47</v>
      </c>
      <c r="E159" s="8">
        <v>45280</v>
      </c>
      <c r="F159" s="7" t="s">
        <v>151</v>
      </c>
      <c r="G159" s="49">
        <v>2280000</v>
      </c>
      <c r="H159" s="10">
        <f t="shared" si="99"/>
        <v>433200</v>
      </c>
      <c r="I159" s="10">
        <f t="shared" si="100"/>
        <v>2713200</v>
      </c>
      <c r="J159" s="10">
        <f t="shared" si="98"/>
        <v>91200</v>
      </c>
      <c r="K159" s="10">
        <f t="shared" si="93"/>
        <v>25171.199999999997</v>
      </c>
      <c r="L159" s="10">
        <f t="shared" si="94"/>
        <v>64980</v>
      </c>
      <c r="M159" s="58"/>
      <c r="N159" s="10">
        <f t="shared" si="101"/>
        <v>181351.2</v>
      </c>
      <c r="O159" s="10">
        <f t="shared" si="96"/>
        <v>2531848.7999999998</v>
      </c>
      <c r="P159" s="57">
        <v>45357</v>
      </c>
      <c r="Q159" s="6" t="s">
        <v>24</v>
      </c>
      <c r="R159" s="9">
        <v>2531849</v>
      </c>
      <c r="S159" s="10">
        <f t="shared" si="102"/>
        <v>-0.20000000018626451</v>
      </c>
      <c r="T159" s="6" t="s">
        <v>25</v>
      </c>
    </row>
    <row r="160" spans="1:20">
      <c r="A160" s="145"/>
      <c r="B160" s="6" t="s">
        <v>295</v>
      </c>
      <c r="C160" s="6" t="s">
        <v>21</v>
      </c>
      <c r="D160" s="7" t="s">
        <v>47</v>
      </c>
      <c r="E160" s="8">
        <v>45280</v>
      </c>
      <c r="F160" s="108" t="s">
        <v>275</v>
      </c>
      <c r="G160" s="49">
        <v>2700000</v>
      </c>
      <c r="H160" s="10">
        <f t="shared" si="99"/>
        <v>513000</v>
      </c>
      <c r="I160" s="10">
        <f t="shared" si="100"/>
        <v>3213000</v>
      </c>
      <c r="J160" s="10">
        <f>G160*0.025</f>
        <v>67500</v>
      </c>
      <c r="K160" s="10">
        <f t="shared" si="93"/>
        <v>29807.999999999996</v>
      </c>
      <c r="L160" s="10">
        <f t="shared" si="94"/>
        <v>76950</v>
      </c>
      <c r="M160" s="58"/>
      <c r="N160" s="10">
        <f t="shared" si="101"/>
        <v>174258</v>
      </c>
      <c r="O160" s="10">
        <f t="shared" si="96"/>
        <v>3038742</v>
      </c>
      <c r="P160" s="57">
        <v>45349</v>
      </c>
      <c r="Q160" s="6" t="s">
        <v>24</v>
      </c>
      <c r="R160" s="9">
        <v>3038742</v>
      </c>
      <c r="S160" s="10">
        <f t="shared" si="102"/>
        <v>0</v>
      </c>
      <c r="T160" s="6" t="s">
        <v>25</v>
      </c>
    </row>
    <row r="161" spans="1:23">
      <c r="A161" s="145"/>
      <c r="B161" s="6" t="s">
        <v>296</v>
      </c>
      <c r="C161" s="6" t="s">
        <v>21</v>
      </c>
      <c r="D161" s="7" t="s">
        <v>47</v>
      </c>
      <c r="E161" s="8">
        <v>45280</v>
      </c>
      <c r="F161" s="7" t="s">
        <v>151</v>
      </c>
      <c r="G161" s="49">
        <v>280000</v>
      </c>
      <c r="H161" s="10">
        <f t="shared" si="99"/>
        <v>53200</v>
      </c>
      <c r="I161" s="10">
        <f t="shared" si="100"/>
        <v>333200</v>
      </c>
      <c r="J161" s="10">
        <f>G161*0.04</f>
        <v>11200</v>
      </c>
      <c r="K161" s="10">
        <f t="shared" si="93"/>
        <v>3091.1999999999994</v>
      </c>
      <c r="L161" s="10">
        <f t="shared" si="94"/>
        <v>7980</v>
      </c>
      <c r="M161" s="58"/>
      <c r="N161" s="10">
        <f t="shared" si="101"/>
        <v>22271.199999999997</v>
      </c>
      <c r="O161" s="10">
        <f t="shared" si="96"/>
        <v>310928.8</v>
      </c>
      <c r="P161" s="57">
        <v>45349</v>
      </c>
      <c r="Q161" s="6" t="s">
        <v>24</v>
      </c>
      <c r="R161" s="9">
        <v>310929</v>
      </c>
      <c r="S161" s="10">
        <f t="shared" si="102"/>
        <v>-0.20000000001164153</v>
      </c>
      <c r="T161" s="6" t="s">
        <v>25</v>
      </c>
    </row>
    <row r="162" spans="1:23">
      <c r="A162" s="145"/>
      <c r="B162" s="6" t="s">
        <v>297</v>
      </c>
      <c r="C162" s="6" t="s">
        <v>21</v>
      </c>
      <c r="D162" s="7" t="s">
        <v>47</v>
      </c>
      <c r="E162" s="8">
        <v>45280</v>
      </c>
      <c r="F162" s="7" t="s">
        <v>151</v>
      </c>
      <c r="G162" s="49">
        <v>3600000</v>
      </c>
      <c r="H162" s="10">
        <f t="shared" si="99"/>
        <v>684000</v>
      </c>
      <c r="I162" s="10">
        <f t="shared" si="100"/>
        <v>4284000</v>
      </c>
      <c r="J162" s="10">
        <f>G162*0.04</f>
        <v>144000</v>
      </c>
      <c r="K162" s="10">
        <f t="shared" si="93"/>
        <v>39744</v>
      </c>
      <c r="L162" s="10">
        <f t="shared" si="94"/>
        <v>102600</v>
      </c>
      <c r="M162" s="58"/>
      <c r="N162" s="10">
        <f t="shared" si="101"/>
        <v>286344</v>
      </c>
      <c r="O162" s="10">
        <f t="shared" si="96"/>
        <v>3997656</v>
      </c>
      <c r="P162" s="57">
        <v>45349</v>
      </c>
      <c r="Q162" s="6" t="s">
        <v>24</v>
      </c>
      <c r="R162" s="9">
        <v>3997656</v>
      </c>
      <c r="S162" s="10">
        <f>+O162-R162</f>
        <v>0</v>
      </c>
      <c r="T162" s="6" t="s">
        <v>25</v>
      </c>
    </row>
    <row r="163" spans="1:23">
      <c r="A163" s="145"/>
      <c r="B163" s="6" t="s">
        <v>298</v>
      </c>
      <c r="C163" s="6" t="s">
        <v>21</v>
      </c>
      <c r="D163" s="7" t="s">
        <v>47</v>
      </c>
      <c r="E163" s="8">
        <v>45280</v>
      </c>
      <c r="F163" s="7" t="s">
        <v>151</v>
      </c>
      <c r="G163" s="49">
        <v>490000</v>
      </c>
      <c r="H163" s="10">
        <f t="shared" si="99"/>
        <v>93100</v>
      </c>
      <c r="I163" s="10">
        <f t="shared" si="100"/>
        <v>583100</v>
      </c>
      <c r="J163" s="10">
        <f>G163*0.04</f>
        <v>19600</v>
      </c>
      <c r="K163" s="10">
        <f t="shared" si="93"/>
        <v>5409.6</v>
      </c>
      <c r="L163" s="10">
        <f t="shared" si="94"/>
        <v>13965</v>
      </c>
      <c r="M163" s="58"/>
      <c r="N163" s="10">
        <f t="shared" si="101"/>
        <v>38974.6</v>
      </c>
      <c r="O163" s="10">
        <f t="shared" si="96"/>
        <v>544125.4</v>
      </c>
      <c r="P163" s="57">
        <v>45349</v>
      </c>
      <c r="Q163" s="6" t="s">
        <v>24</v>
      </c>
      <c r="R163" s="9">
        <v>544125</v>
      </c>
      <c r="S163" s="10">
        <f t="shared" si="102"/>
        <v>0.40000000002328306</v>
      </c>
      <c r="T163" s="6" t="s">
        <v>25</v>
      </c>
    </row>
    <row r="164" spans="1:23" ht="15" customHeight="1">
      <c r="A164" s="145"/>
      <c r="B164" s="6" t="s">
        <v>299</v>
      </c>
      <c r="C164" s="6" t="s">
        <v>21</v>
      </c>
      <c r="D164" s="7" t="s">
        <v>47</v>
      </c>
      <c r="E164" s="8">
        <v>45280</v>
      </c>
      <c r="F164" s="7" t="s">
        <v>151</v>
      </c>
      <c r="G164" s="49">
        <v>390000</v>
      </c>
      <c r="H164" s="10">
        <f>G164*0.19</f>
        <v>74100</v>
      </c>
      <c r="I164" s="10">
        <f>G164+H164</f>
        <v>464100</v>
      </c>
      <c r="J164" s="10"/>
      <c r="K164" s="10"/>
      <c r="L164" s="10"/>
      <c r="M164" s="58"/>
      <c r="N164" s="10"/>
      <c r="O164" s="10">
        <f t="shared" si="96"/>
        <v>464100</v>
      </c>
      <c r="P164" s="57"/>
      <c r="Q164" s="6"/>
      <c r="R164" s="9"/>
      <c r="S164" s="10">
        <f t="shared" si="102"/>
        <v>464100</v>
      </c>
      <c r="T164" s="6"/>
    </row>
    <row r="165" spans="1:23">
      <c r="A165" s="145"/>
      <c r="B165" s="6" t="s">
        <v>300</v>
      </c>
      <c r="C165" s="6" t="s">
        <v>21</v>
      </c>
      <c r="D165" s="7" t="s">
        <v>47</v>
      </c>
      <c r="E165" s="8">
        <v>45280</v>
      </c>
      <c r="F165" s="7" t="s">
        <v>151</v>
      </c>
      <c r="G165" s="49">
        <v>450000</v>
      </c>
      <c r="H165" s="10">
        <f>G165*0.19</f>
        <v>85500</v>
      </c>
      <c r="I165" s="10">
        <f>G165+H165</f>
        <v>535500</v>
      </c>
      <c r="J165" s="10">
        <f>G165*0.04</f>
        <v>18000</v>
      </c>
      <c r="K165" s="10">
        <f>G165*11.04/1000</f>
        <v>4968</v>
      </c>
      <c r="L165" s="10">
        <f>H165*0.15</f>
        <v>12825</v>
      </c>
      <c r="M165" s="58"/>
      <c r="N165" s="10">
        <f>SUM(J165:M165)</f>
        <v>35793</v>
      </c>
      <c r="O165" s="10">
        <f t="shared" si="96"/>
        <v>499707</v>
      </c>
      <c r="P165" s="57">
        <v>45349</v>
      </c>
      <c r="Q165" s="6" t="s">
        <v>24</v>
      </c>
      <c r="R165" s="9">
        <v>499707</v>
      </c>
      <c r="S165" s="10">
        <f>+O165-R165</f>
        <v>0</v>
      </c>
      <c r="T165" s="6" t="s">
        <v>25</v>
      </c>
    </row>
    <row r="166" spans="1:23">
      <c r="A166" s="145"/>
      <c r="B166" s="6" t="s">
        <v>301</v>
      </c>
      <c r="C166" s="6" t="s">
        <v>21</v>
      </c>
      <c r="D166" s="7" t="s">
        <v>47</v>
      </c>
      <c r="E166" s="8">
        <v>45280</v>
      </c>
      <c r="F166" s="7" t="s">
        <v>151</v>
      </c>
      <c r="G166" s="49">
        <v>150000</v>
      </c>
      <c r="H166" s="10">
        <f>G166*0.19</f>
        <v>28500</v>
      </c>
      <c r="I166" s="10">
        <f>G166+H166</f>
        <v>178500</v>
      </c>
      <c r="J166" s="10">
        <f>G166*0.04</f>
        <v>6000</v>
      </c>
      <c r="K166" s="10">
        <f>G166*11.04/1000</f>
        <v>1655.9999999999998</v>
      </c>
      <c r="L166" s="10">
        <f>H166*0.15</f>
        <v>4275</v>
      </c>
      <c r="M166" s="58"/>
      <c r="N166" s="10">
        <f>SUM(J166:M166)</f>
        <v>11931</v>
      </c>
      <c r="O166" s="10">
        <f t="shared" si="96"/>
        <v>166569</v>
      </c>
      <c r="P166" s="57">
        <v>45349</v>
      </c>
      <c r="Q166" s="6" t="s">
        <v>24</v>
      </c>
      <c r="R166" s="9">
        <v>166569</v>
      </c>
      <c r="S166" s="10">
        <f>+O166-R166</f>
        <v>0</v>
      </c>
      <c r="T166" s="6" t="s">
        <v>25</v>
      </c>
    </row>
    <row r="167" spans="1:23">
      <c r="A167" s="145"/>
      <c r="B167" s="11"/>
      <c r="C167" s="11"/>
      <c r="D167" s="12"/>
      <c r="E167" s="11"/>
      <c r="F167" s="12"/>
      <c r="G167" s="87">
        <f>SUM(G143:G166)</f>
        <v>46530000</v>
      </c>
      <c r="H167" s="87">
        <f t="shared" ref="H167:T167" si="103">SUM(H143:H166)</f>
        <v>8840700</v>
      </c>
      <c r="I167" s="87">
        <f>SUM(I143:I166)</f>
        <v>55370700</v>
      </c>
      <c r="J167" s="87">
        <f t="shared" si="103"/>
        <v>1470300</v>
      </c>
      <c r="K167" s="87">
        <f t="shared" si="103"/>
        <v>509385.6</v>
      </c>
      <c r="L167" s="87">
        <f t="shared" si="103"/>
        <v>1314990</v>
      </c>
      <c r="M167" s="87">
        <f t="shared" si="103"/>
        <v>863897</v>
      </c>
      <c r="N167" s="87">
        <f t="shared" si="103"/>
        <v>4158572.6000000006</v>
      </c>
      <c r="O167" s="87">
        <f t="shared" si="103"/>
        <v>51212127.399999991</v>
      </c>
      <c r="P167" s="87">
        <f t="shared" si="103"/>
        <v>1042771</v>
      </c>
      <c r="Q167" s="87">
        <f t="shared" si="103"/>
        <v>0</v>
      </c>
      <c r="R167" s="87">
        <f t="shared" si="103"/>
        <v>50748026</v>
      </c>
      <c r="S167" s="87">
        <f t="shared" si="103"/>
        <v>464101.40000000055</v>
      </c>
      <c r="T167" s="87">
        <f t="shared" si="103"/>
        <v>0</v>
      </c>
    </row>
    <row r="168" spans="1:23">
      <c r="B168" s="101"/>
      <c r="C168" s="102"/>
      <c r="D168" s="103"/>
      <c r="E168" s="104"/>
      <c r="F168" s="109"/>
      <c r="G168" s="105"/>
      <c r="H168" s="3"/>
      <c r="I168" s="3"/>
      <c r="J168" s="3"/>
      <c r="K168" s="3"/>
      <c r="L168" s="3"/>
      <c r="M168" s="106"/>
      <c r="N168" s="3"/>
      <c r="O168" s="3"/>
      <c r="P168" s="110"/>
      <c r="R168" s="107"/>
      <c r="S168" s="3"/>
    </row>
    <row r="169" spans="1:23">
      <c r="B169" s="101"/>
      <c r="C169" s="102"/>
      <c r="D169" s="103"/>
      <c r="E169" s="104"/>
      <c r="G169" s="105"/>
      <c r="H169" s="3"/>
      <c r="I169" s="3"/>
      <c r="M169" s="106"/>
      <c r="N169" s="3"/>
      <c r="O169" s="3"/>
      <c r="R169" s="107"/>
      <c r="S169" s="3"/>
    </row>
    <row r="170" spans="1:23" ht="19.5" customHeight="1" thickBot="1">
      <c r="B170" s="146" t="s">
        <v>302</v>
      </c>
      <c r="C170" s="147"/>
      <c r="D170" s="147"/>
      <c r="E170" s="148"/>
    </row>
    <row r="171" spans="1:23" ht="30" customHeight="1">
      <c r="B171" s="16" t="s">
        <v>1</v>
      </c>
      <c r="C171" s="17" t="s">
        <v>303</v>
      </c>
      <c r="D171" s="17" t="s">
        <v>3</v>
      </c>
      <c r="E171" s="17" t="s">
        <v>4</v>
      </c>
      <c r="F171" s="17" t="s">
        <v>5</v>
      </c>
      <c r="G171" s="18" t="s">
        <v>6</v>
      </c>
      <c r="H171" s="18" t="s">
        <v>7</v>
      </c>
      <c r="I171" s="18" t="s">
        <v>8</v>
      </c>
      <c r="J171" s="19" t="s">
        <v>9</v>
      </c>
      <c r="K171" s="20" t="s">
        <v>10</v>
      </c>
      <c r="L171" s="20" t="s">
        <v>11</v>
      </c>
      <c r="M171" s="60" t="s">
        <v>12</v>
      </c>
      <c r="N171" s="20" t="s">
        <v>13</v>
      </c>
      <c r="O171" s="20" t="s">
        <v>14</v>
      </c>
      <c r="P171" s="21" t="s">
        <v>15</v>
      </c>
      <c r="Q171" s="20" t="s">
        <v>16</v>
      </c>
      <c r="R171" s="60" t="s">
        <v>17</v>
      </c>
      <c r="S171" s="22" t="s">
        <v>18</v>
      </c>
      <c r="T171" s="23" t="s">
        <v>19</v>
      </c>
      <c r="U171" s="24"/>
      <c r="V171" s="25"/>
      <c r="W171" s="26"/>
    </row>
    <row r="172" spans="1:23" s="62" customFormat="1" ht="16.5" customHeight="1">
      <c r="B172" s="63" t="s">
        <v>216</v>
      </c>
      <c r="C172" s="63" t="s">
        <v>304</v>
      </c>
      <c r="D172" s="64" t="s">
        <v>47</v>
      </c>
      <c r="E172" s="65">
        <v>45175</v>
      </c>
      <c r="F172" s="64" t="s">
        <v>217</v>
      </c>
      <c r="G172" s="66">
        <v>450000</v>
      </c>
      <c r="H172" s="67">
        <f>G172*0.19</f>
        <v>85500</v>
      </c>
      <c r="I172" s="67">
        <f>G172+H172</f>
        <v>535500</v>
      </c>
      <c r="J172" s="67">
        <f>G172*0.04</f>
        <v>18000</v>
      </c>
      <c r="K172" s="67">
        <f>G172*11.04/1000</f>
        <v>4968</v>
      </c>
      <c r="L172" s="67">
        <f>H172*0.15</f>
        <v>12825</v>
      </c>
      <c r="M172" s="68">
        <v>0</v>
      </c>
      <c r="N172" s="67">
        <f>SUM(J172:M172)</f>
        <v>35793</v>
      </c>
      <c r="O172" s="67">
        <f>+I172-N172</f>
        <v>499707</v>
      </c>
      <c r="P172" s="64"/>
      <c r="Q172" s="63"/>
      <c r="R172" s="66"/>
      <c r="S172" s="67">
        <f>+O172-R172</f>
        <v>499707</v>
      </c>
      <c r="T172" s="63"/>
    </row>
  </sheetData>
  <autoFilter ref="A4:T141" xr:uid="{6CE36B4F-FDE2-4D5E-8046-9F29C0D0D2C6}"/>
  <mergeCells count="22">
    <mergeCell ref="B2:D2"/>
    <mergeCell ref="A127:A141"/>
    <mergeCell ref="A56:A64"/>
    <mergeCell ref="A66:A77"/>
    <mergeCell ref="A29:A37"/>
    <mergeCell ref="A39:A47"/>
    <mergeCell ref="A85:A97"/>
    <mergeCell ref="A49:A54"/>
    <mergeCell ref="A79:A83"/>
    <mergeCell ref="A5:A14"/>
    <mergeCell ref="V93:AE93"/>
    <mergeCell ref="AF93:AG93"/>
    <mergeCell ref="A17:A27"/>
    <mergeCell ref="A143:A167"/>
    <mergeCell ref="B170:E170"/>
    <mergeCell ref="A116:A125"/>
    <mergeCell ref="A99:A114"/>
    <mergeCell ref="W5:X5"/>
    <mergeCell ref="W6:X6"/>
    <mergeCell ref="W7:X7"/>
    <mergeCell ref="AB91:AF91"/>
    <mergeCell ref="V92:X9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8EFD-5C02-44DC-A3B3-467EFF726321}">
  <dimension ref="A1:AG164"/>
  <sheetViews>
    <sheetView zoomScale="85" zoomScaleNormal="85" workbookViewId="0">
      <pane xSplit="4" ySplit="4" topLeftCell="E122" activePane="bottomRight" state="frozen"/>
      <selection pane="bottomRight" activeCell="G104" sqref="G104"/>
      <selection pane="bottomLeft" activeCell="A5" sqref="A5"/>
      <selection pane="topRight" activeCell="E1" sqref="E1"/>
    </sheetView>
  </sheetViews>
  <sheetFormatPr defaultColWidth="10.7109375" defaultRowHeight="14.45"/>
  <cols>
    <col min="2" max="2" width="10.5703125" style="1" customWidth="1"/>
    <col min="3" max="3" width="13.28515625" style="1" hidden="1" customWidth="1"/>
    <col min="4" max="4" width="33.28515625" customWidth="1"/>
    <col min="5" max="5" width="12.42578125" style="1" customWidth="1"/>
    <col min="6" max="6" width="35.28515625" customWidth="1"/>
    <col min="7" max="7" width="14.42578125" customWidth="1"/>
    <col min="8" max="8" width="12.85546875" customWidth="1"/>
    <col min="9" max="9" width="14.7109375" customWidth="1"/>
    <col min="10" max="10" width="12.42578125" customWidth="1"/>
    <col min="11" max="11" width="12" bestFit="1" customWidth="1"/>
    <col min="12" max="12" width="13.42578125" customWidth="1"/>
    <col min="13" max="13" width="15.42578125" style="61" customWidth="1"/>
    <col min="14" max="14" width="16.28515625" customWidth="1"/>
    <col min="15" max="15" width="13.7109375" customWidth="1"/>
    <col min="16" max="16" width="13.42578125" customWidth="1"/>
    <col min="17" max="17" width="11.42578125" style="1" customWidth="1"/>
    <col min="18" max="18" width="15.5703125" style="2" bestFit="1" customWidth="1"/>
    <col min="19" max="19" width="13.85546875" customWidth="1"/>
    <col min="20" max="20" width="13.140625" style="1" customWidth="1"/>
    <col min="21" max="21" width="10.7109375" customWidth="1"/>
    <col min="22" max="22" width="29.140625" customWidth="1"/>
    <col min="23" max="23" width="21.7109375" customWidth="1"/>
    <col min="24" max="24" width="22.140625" customWidth="1"/>
    <col min="25" max="25" width="12.85546875" customWidth="1"/>
    <col min="26" max="26" width="12.140625" bestFit="1" customWidth="1"/>
    <col min="27" max="27" width="20" bestFit="1" customWidth="1"/>
    <col min="30" max="30" width="12.28515625" customWidth="1"/>
    <col min="31" max="31" width="19.5703125" customWidth="1"/>
    <col min="32" max="32" width="13.140625" bestFit="1" customWidth="1"/>
    <col min="33" max="33" width="12.140625" bestFit="1" customWidth="1"/>
  </cols>
  <sheetData>
    <row r="1" spans="1:23" ht="15" thickBot="1"/>
    <row r="2" spans="1:23" ht="21" customHeight="1" thickBot="1">
      <c r="B2" s="149" t="s">
        <v>0</v>
      </c>
      <c r="C2" s="150"/>
      <c r="D2" s="151"/>
      <c r="E2" s="79"/>
    </row>
    <row r="3" spans="1:23" ht="15" thickBot="1"/>
    <row r="4" spans="1:23" ht="33" customHeight="1"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18" t="s">
        <v>7</v>
      </c>
      <c r="I4" s="18" t="s">
        <v>8</v>
      </c>
      <c r="J4" s="19" t="s">
        <v>9</v>
      </c>
      <c r="K4" s="20" t="s">
        <v>10</v>
      </c>
      <c r="L4" s="20" t="s">
        <v>11</v>
      </c>
      <c r="M4" s="60" t="s">
        <v>12</v>
      </c>
      <c r="N4" s="20" t="s">
        <v>13</v>
      </c>
      <c r="O4" s="20" t="s">
        <v>14</v>
      </c>
      <c r="P4" s="21" t="s">
        <v>15</v>
      </c>
      <c r="Q4" s="20" t="s">
        <v>16</v>
      </c>
      <c r="R4" s="60" t="s">
        <v>17</v>
      </c>
      <c r="S4" s="22" t="s">
        <v>18</v>
      </c>
      <c r="T4" s="23" t="s">
        <v>19</v>
      </c>
      <c r="U4" s="24"/>
      <c r="V4" s="25"/>
      <c r="W4" s="26"/>
    </row>
    <row r="6" spans="1:23" ht="15" customHeight="1">
      <c r="A6" s="118"/>
      <c r="E6" s="5"/>
      <c r="G6" s="105"/>
      <c r="H6" s="105"/>
      <c r="I6" s="105"/>
      <c r="J6" s="105"/>
      <c r="K6" s="105"/>
      <c r="L6" s="105"/>
      <c r="M6" s="119"/>
      <c r="N6" s="105"/>
      <c r="O6" s="105"/>
      <c r="P6" s="110"/>
      <c r="Q6" s="117"/>
      <c r="R6" s="105"/>
      <c r="S6" s="3"/>
    </row>
    <row r="7" spans="1:23" ht="15" customHeight="1">
      <c r="A7" s="143" t="s">
        <v>49</v>
      </c>
      <c r="B7" s="6" t="s">
        <v>50</v>
      </c>
      <c r="C7" s="6" t="s">
        <v>21</v>
      </c>
      <c r="D7" s="7" t="s">
        <v>47</v>
      </c>
      <c r="E7" s="27">
        <v>44936</v>
      </c>
      <c r="F7" s="7" t="s">
        <v>51</v>
      </c>
      <c r="G7" s="9">
        <v>1400000</v>
      </c>
      <c r="H7" s="9">
        <f>G7*0.19</f>
        <v>266000</v>
      </c>
      <c r="I7" s="9">
        <f>G7+H7</f>
        <v>1666000</v>
      </c>
      <c r="J7" s="9">
        <f>G7*0.04</f>
        <v>56000</v>
      </c>
      <c r="K7" s="49">
        <f>G7*11.04/1000</f>
        <v>15455.999999999998</v>
      </c>
      <c r="L7" s="9">
        <f>H7*0.15</f>
        <v>39900</v>
      </c>
      <c r="M7" s="58">
        <v>0</v>
      </c>
      <c r="N7" s="9">
        <f>SUM(J7:M7)</f>
        <v>111356</v>
      </c>
      <c r="O7" s="9">
        <f>+I7-N7</f>
        <v>1554644</v>
      </c>
      <c r="P7" s="57">
        <v>44988</v>
      </c>
      <c r="Q7" s="40" t="s">
        <v>24</v>
      </c>
      <c r="R7" s="9">
        <v>1554644</v>
      </c>
      <c r="S7" s="10">
        <f>+O7-R7</f>
        <v>0</v>
      </c>
      <c r="T7" s="6" t="s">
        <v>25</v>
      </c>
    </row>
    <row r="8" spans="1:23" ht="15.75" customHeight="1">
      <c r="A8" s="143"/>
      <c r="B8" s="6" t="s">
        <v>52</v>
      </c>
      <c r="C8" s="6" t="s">
        <v>21</v>
      </c>
      <c r="D8" s="7" t="s">
        <v>47</v>
      </c>
      <c r="E8" s="8">
        <v>44949</v>
      </c>
      <c r="F8" s="7" t="s">
        <v>53</v>
      </c>
      <c r="G8" s="9">
        <v>1520000</v>
      </c>
      <c r="H8" s="10">
        <f t="shared" ref="H8:H16" si="0">G8*0.19</f>
        <v>288800</v>
      </c>
      <c r="I8" s="10">
        <f t="shared" ref="I8:I16" si="1">G8+H8</f>
        <v>1808800</v>
      </c>
      <c r="J8" s="10">
        <f>G8*0.025</f>
        <v>38000</v>
      </c>
      <c r="K8" s="10">
        <f t="shared" ref="K8:K16" si="2">G8*11.04/1000</f>
        <v>16780.8</v>
      </c>
      <c r="L8" s="10">
        <f t="shared" ref="L8:L16" si="3">H8*0.15</f>
        <v>43320</v>
      </c>
      <c r="M8" s="58">
        <v>0</v>
      </c>
      <c r="N8" s="10">
        <f t="shared" ref="N8:N16" si="4">SUM(J8:M8)</f>
        <v>98100.800000000003</v>
      </c>
      <c r="O8" s="10">
        <f t="shared" ref="O8:O16" si="5">+I8-N8</f>
        <v>1710699.2</v>
      </c>
      <c r="P8" s="57">
        <v>45002</v>
      </c>
      <c r="Q8" s="40" t="s">
        <v>24</v>
      </c>
      <c r="R8" s="9">
        <v>1710699</v>
      </c>
      <c r="S8" s="10">
        <f t="shared" ref="S8:S16" si="6">+O8-R8</f>
        <v>0.19999999995343387</v>
      </c>
      <c r="T8" s="6" t="s">
        <v>25</v>
      </c>
    </row>
    <row r="9" spans="1:23" ht="15.75" customHeight="1">
      <c r="A9" s="143"/>
      <c r="B9" s="6" t="s">
        <v>54</v>
      </c>
      <c r="C9" s="6" t="s">
        <v>21</v>
      </c>
      <c r="D9" s="7" t="s">
        <v>47</v>
      </c>
      <c r="E9" s="8">
        <v>44949</v>
      </c>
      <c r="F9" s="7" t="s">
        <v>55</v>
      </c>
      <c r="G9" s="9">
        <v>900000</v>
      </c>
      <c r="H9" s="10">
        <f t="shared" si="0"/>
        <v>171000</v>
      </c>
      <c r="I9" s="10">
        <f t="shared" si="1"/>
        <v>1071000</v>
      </c>
      <c r="J9" s="10">
        <f>G9*0.025</f>
        <v>22500</v>
      </c>
      <c r="K9" s="10">
        <f t="shared" si="2"/>
        <v>9936</v>
      </c>
      <c r="L9" s="10">
        <f t="shared" si="3"/>
        <v>25650</v>
      </c>
      <c r="M9" s="58">
        <v>16838</v>
      </c>
      <c r="N9" s="10">
        <f t="shared" si="4"/>
        <v>74924</v>
      </c>
      <c r="O9" s="10">
        <f t="shared" si="5"/>
        <v>996076</v>
      </c>
      <c r="P9" s="57">
        <v>44988</v>
      </c>
      <c r="Q9" s="40" t="s">
        <v>24</v>
      </c>
      <c r="R9" s="9">
        <v>996076</v>
      </c>
      <c r="S9" s="10">
        <f t="shared" si="6"/>
        <v>0</v>
      </c>
      <c r="T9" s="6" t="s">
        <v>25</v>
      </c>
    </row>
    <row r="10" spans="1:23" ht="15.75" customHeight="1">
      <c r="A10" s="143"/>
      <c r="B10" s="111" t="s">
        <v>56</v>
      </c>
      <c r="C10" s="111" t="s">
        <v>21</v>
      </c>
      <c r="D10" s="112" t="s">
        <v>47</v>
      </c>
      <c r="E10" s="113">
        <v>44949</v>
      </c>
      <c r="F10" s="112" t="s">
        <v>57</v>
      </c>
      <c r="G10" s="114">
        <v>1070000</v>
      </c>
      <c r="H10" s="115">
        <f t="shared" si="0"/>
        <v>203300</v>
      </c>
      <c r="I10" s="115">
        <f t="shared" si="1"/>
        <v>1273300</v>
      </c>
      <c r="J10" s="115"/>
      <c r="K10" s="115"/>
      <c r="L10" s="115"/>
      <c r="M10" s="116">
        <v>0</v>
      </c>
      <c r="N10" s="115">
        <f t="shared" si="4"/>
        <v>0</v>
      </c>
      <c r="O10" s="115">
        <f t="shared" si="5"/>
        <v>1273300</v>
      </c>
      <c r="P10" s="112"/>
      <c r="Q10" s="111"/>
      <c r="R10" s="114"/>
      <c r="S10" s="115">
        <f t="shared" si="6"/>
        <v>1273300</v>
      </c>
      <c r="T10" s="111" t="s">
        <v>58</v>
      </c>
      <c r="U10" s="3"/>
    </row>
    <row r="11" spans="1:23" ht="15.75" customHeight="1">
      <c r="A11" s="143"/>
      <c r="B11" s="111" t="s">
        <v>59</v>
      </c>
      <c r="C11" s="111" t="s">
        <v>21</v>
      </c>
      <c r="D11" s="112" t="s">
        <v>47</v>
      </c>
      <c r="E11" s="113">
        <v>44949</v>
      </c>
      <c r="F11" s="112" t="s">
        <v>60</v>
      </c>
      <c r="G11" s="114">
        <v>840000</v>
      </c>
      <c r="H11" s="115">
        <f t="shared" si="0"/>
        <v>159600</v>
      </c>
      <c r="I11" s="115">
        <f t="shared" si="1"/>
        <v>999600</v>
      </c>
      <c r="J11" s="115"/>
      <c r="K11" s="115"/>
      <c r="L11" s="115"/>
      <c r="M11" s="116">
        <v>0</v>
      </c>
      <c r="N11" s="115">
        <f t="shared" si="4"/>
        <v>0</v>
      </c>
      <c r="O11" s="115">
        <f t="shared" si="5"/>
        <v>999600</v>
      </c>
      <c r="P11" s="112"/>
      <c r="Q11" s="111"/>
      <c r="R11" s="114"/>
      <c r="S11" s="115">
        <f t="shared" si="6"/>
        <v>999600</v>
      </c>
      <c r="T11" s="111" t="s">
        <v>58</v>
      </c>
    </row>
    <row r="12" spans="1:23" ht="15.75" customHeight="1">
      <c r="A12" s="143"/>
      <c r="B12" s="6" t="s">
        <v>61</v>
      </c>
      <c r="C12" s="6" t="s">
        <v>21</v>
      </c>
      <c r="D12" s="7" t="s">
        <v>47</v>
      </c>
      <c r="E12" s="8">
        <v>44949</v>
      </c>
      <c r="F12" s="7" t="s">
        <v>62</v>
      </c>
      <c r="G12" s="9">
        <v>380000</v>
      </c>
      <c r="H12" s="10">
        <f t="shared" si="0"/>
        <v>72200</v>
      </c>
      <c r="I12" s="10">
        <f t="shared" si="1"/>
        <v>452200</v>
      </c>
      <c r="J12" s="10">
        <f>G12*0.04</f>
        <v>15200</v>
      </c>
      <c r="K12" s="10">
        <f t="shared" si="2"/>
        <v>4195.2</v>
      </c>
      <c r="L12" s="10">
        <f t="shared" si="3"/>
        <v>10830</v>
      </c>
      <c r="M12" s="58">
        <v>0</v>
      </c>
      <c r="N12" s="10">
        <f t="shared" si="4"/>
        <v>30225.200000000001</v>
      </c>
      <c r="O12" s="10">
        <f t="shared" si="5"/>
        <v>421974.8</v>
      </c>
      <c r="P12" s="57">
        <v>45002</v>
      </c>
      <c r="Q12" s="40" t="s">
        <v>24</v>
      </c>
      <c r="R12" s="9">
        <v>421975</v>
      </c>
      <c r="S12" s="10">
        <f t="shared" si="6"/>
        <v>-0.20000000001164153</v>
      </c>
      <c r="T12" s="6" t="s">
        <v>25</v>
      </c>
    </row>
    <row r="13" spans="1:23" ht="15.75" customHeight="1">
      <c r="A13" s="143"/>
      <c r="B13" s="6" t="s">
        <v>63</v>
      </c>
      <c r="C13" s="6" t="s">
        <v>21</v>
      </c>
      <c r="D13" s="7" t="s">
        <v>47</v>
      </c>
      <c r="E13" s="8">
        <v>44953</v>
      </c>
      <c r="F13" s="7" t="s">
        <v>64</v>
      </c>
      <c r="G13" s="9">
        <v>680000</v>
      </c>
      <c r="H13" s="10">
        <f t="shared" si="0"/>
        <v>129200</v>
      </c>
      <c r="I13" s="10">
        <f t="shared" si="1"/>
        <v>809200</v>
      </c>
      <c r="J13" s="10">
        <f>G13*0.04</f>
        <v>27200</v>
      </c>
      <c r="K13" s="10">
        <f t="shared" si="2"/>
        <v>7507.1999999999989</v>
      </c>
      <c r="L13" s="10">
        <f t="shared" si="3"/>
        <v>19380</v>
      </c>
      <c r="M13" s="58">
        <v>0</v>
      </c>
      <c r="N13" s="10">
        <f t="shared" si="4"/>
        <v>54087.199999999997</v>
      </c>
      <c r="O13" s="10">
        <f t="shared" si="5"/>
        <v>755112.8</v>
      </c>
      <c r="P13" s="57">
        <v>45009</v>
      </c>
      <c r="Q13" s="40" t="s">
        <v>24</v>
      </c>
      <c r="R13" s="9">
        <v>755113</v>
      </c>
      <c r="S13" s="10">
        <f t="shared" si="6"/>
        <v>-0.19999999995343387</v>
      </c>
      <c r="T13" s="6" t="s">
        <v>25</v>
      </c>
    </row>
    <row r="14" spans="1:23" ht="15.75" customHeight="1">
      <c r="A14" s="143"/>
      <c r="B14" s="6" t="s">
        <v>65</v>
      </c>
      <c r="C14" s="6" t="s">
        <v>21</v>
      </c>
      <c r="D14" s="7" t="s">
        <v>47</v>
      </c>
      <c r="E14" s="8">
        <v>44953</v>
      </c>
      <c r="F14" s="7" t="s">
        <v>66</v>
      </c>
      <c r="G14" s="9">
        <v>8400000</v>
      </c>
      <c r="H14" s="10">
        <f t="shared" si="0"/>
        <v>1596000</v>
      </c>
      <c r="I14" s="10">
        <f t="shared" si="1"/>
        <v>9996000</v>
      </c>
      <c r="J14" s="10">
        <f>G14*0.04</f>
        <v>336000</v>
      </c>
      <c r="K14" s="10">
        <f t="shared" si="2"/>
        <v>92736</v>
      </c>
      <c r="L14" s="10">
        <f t="shared" si="3"/>
        <v>239400</v>
      </c>
      <c r="M14" s="58">
        <v>0</v>
      </c>
      <c r="N14" s="10">
        <f t="shared" si="4"/>
        <v>668136</v>
      </c>
      <c r="O14" s="10">
        <f t="shared" si="5"/>
        <v>9327864</v>
      </c>
      <c r="P14" s="57">
        <v>45026</v>
      </c>
      <c r="Q14" s="40" t="s">
        <v>24</v>
      </c>
      <c r="R14" s="9">
        <v>9327864</v>
      </c>
      <c r="S14" s="10">
        <f t="shared" si="6"/>
        <v>0</v>
      </c>
      <c r="T14" s="6" t="s">
        <v>25</v>
      </c>
    </row>
    <row r="15" spans="1:23">
      <c r="A15" s="143"/>
      <c r="B15" s="6" t="s">
        <v>67</v>
      </c>
      <c r="C15" s="6" t="s">
        <v>21</v>
      </c>
      <c r="D15" s="7" t="s">
        <v>47</v>
      </c>
      <c r="E15" s="8">
        <v>44953</v>
      </c>
      <c r="F15" s="7" t="s">
        <v>60</v>
      </c>
      <c r="G15" s="9">
        <v>420000</v>
      </c>
      <c r="H15" s="10">
        <f t="shared" si="0"/>
        <v>79800</v>
      </c>
      <c r="I15" s="10">
        <f t="shared" si="1"/>
        <v>499800</v>
      </c>
      <c r="J15" s="10">
        <f>G15*0.025</f>
        <v>10500</v>
      </c>
      <c r="K15" s="10">
        <f t="shared" si="2"/>
        <v>4636.8</v>
      </c>
      <c r="L15" s="10">
        <f t="shared" si="3"/>
        <v>11970</v>
      </c>
      <c r="M15" s="58">
        <v>0</v>
      </c>
      <c r="N15" s="10">
        <f t="shared" si="4"/>
        <v>27106.799999999999</v>
      </c>
      <c r="O15" s="10">
        <f t="shared" si="5"/>
        <v>472693.2</v>
      </c>
      <c r="P15" s="57">
        <v>45009</v>
      </c>
      <c r="Q15" s="40" t="s">
        <v>24</v>
      </c>
      <c r="R15" s="9">
        <v>472693</v>
      </c>
      <c r="S15" s="10">
        <f t="shared" si="6"/>
        <v>0.20000000001164153</v>
      </c>
      <c r="T15" s="6" t="s">
        <v>25</v>
      </c>
    </row>
    <row r="16" spans="1:23">
      <c r="A16" s="143"/>
      <c r="B16" s="6" t="s">
        <v>68</v>
      </c>
      <c r="C16" s="6" t="s">
        <v>21</v>
      </c>
      <c r="D16" s="7" t="s">
        <v>47</v>
      </c>
      <c r="E16" s="8">
        <v>44956</v>
      </c>
      <c r="F16" s="7" t="s">
        <v>69</v>
      </c>
      <c r="G16" s="9">
        <v>1160000</v>
      </c>
      <c r="H16" s="10">
        <f t="shared" si="0"/>
        <v>220400</v>
      </c>
      <c r="I16" s="10">
        <f t="shared" si="1"/>
        <v>1380400</v>
      </c>
      <c r="J16" s="10">
        <f>G16*0.025</f>
        <v>29000</v>
      </c>
      <c r="K16" s="10">
        <f t="shared" si="2"/>
        <v>12806.399999999998</v>
      </c>
      <c r="L16" s="10">
        <f t="shared" si="3"/>
        <v>33060</v>
      </c>
      <c r="M16" s="58">
        <v>21703</v>
      </c>
      <c r="N16" s="10">
        <f t="shared" si="4"/>
        <v>96569.4</v>
      </c>
      <c r="O16" s="10">
        <f t="shared" si="5"/>
        <v>1283830.6000000001</v>
      </c>
      <c r="P16" s="57">
        <v>44995</v>
      </c>
      <c r="Q16" s="40" t="s">
        <v>24</v>
      </c>
      <c r="R16" s="9">
        <v>1283831</v>
      </c>
      <c r="S16" s="10">
        <f t="shared" si="6"/>
        <v>-0.39999999990686774</v>
      </c>
      <c r="T16" s="6" t="s">
        <v>25</v>
      </c>
    </row>
    <row r="17" spans="1:21">
      <c r="A17" s="143"/>
      <c r="B17" s="11"/>
      <c r="C17" s="11"/>
      <c r="D17" s="12"/>
      <c r="E17" s="13"/>
      <c r="F17" s="12"/>
      <c r="G17" s="14">
        <f>SUM(G7:G16)</f>
        <v>16770000</v>
      </c>
      <c r="H17" s="14">
        <f t="shared" ref="H17:T17" si="7">SUM(H7:H16)</f>
        <v>3186300</v>
      </c>
      <c r="I17" s="14">
        <f t="shared" si="7"/>
        <v>19956300</v>
      </c>
      <c r="J17" s="14">
        <f t="shared" si="7"/>
        <v>534400</v>
      </c>
      <c r="K17" s="14">
        <f t="shared" si="7"/>
        <v>164054.39999999997</v>
      </c>
      <c r="L17" s="14">
        <f t="shared" si="7"/>
        <v>423510</v>
      </c>
      <c r="M17" s="14">
        <f t="shared" si="7"/>
        <v>38541</v>
      </c>
      <c r="N17" s="14">
        <f t="shared" si="7"/>
        <v>1160505.3999999999</v>
      </c>
      <c r="O17" s="14">
        <f t="shared" si="7"/>
        <v>18795794.600000001</v>
      </c>
      <c r="P17" s="14">
        <f t="shared" si="7"/>
        <v>360019</v>
      </c>
      <c r="Q17" s="14">
        <f t="shared" si="7"/>
        <v>0</v>
      </c>
      <c r="R17" s="14">
        <f t="shared" si="7"/>
        <v>16522895</v>
      </c>
      <c r="S17" s="14">
        <f t="shared" si="7"/>
        <v>2272899.6</v>
      </c>
      <c r="T17" s="14">
        <f t="shared" si="7"/>
        <v>0</v>
      </c>
    </row>
    <row r="18" spans="1:21">
      <c r="E18" s="5"/>
      <c r="G18" s="2"/>
      <c r="H18" s="3"/>
      <c r="I18" s="3"/>
      <c r="J18" s="3"/>
      <c r="K18" s="3"/>
      <c r="L18" s="3"/>
      <c r="N18" s="3"/>
      <c r="O18" s="3"/>
      <c r="S18" s="3"/>
    </row>
    <row r="19" spans="1:21">
      <c r="A19" s="143" t="s">
        <v>70</v>
      </c>
      <c r="B19" s="6" t="s">
        <v>71</v>
      </c>
      <c r="C19" s="6" t="s">
        <v>21</v>
      </c>
      <c r="D19" s="7" t="s">
        <v>47</v>
      </c>
      <c r="E19" s="8">
        <v>44961</v>
      </c>
      <c r="F19" s="7" t="s">
        <v>72</v>
      </c>
      <c r="G19" s="9">
        <v>310000</v>
      </c>
      <c r="H19" s="10">
        <f t="shared" ref="H19:H26" si="8">G19*0.19</f>
        <v>58900</v>
      </c>
      <c r="I19" s="10">
        <f t="shared" ref="I19:I26" si="9">G19+H19</f>
        <v>368900</v>
      </c>
      <c r="J19" s="10">
        <f t="shared" ref="J19:J26" si="10">G19*0.04</f>
        <v>12400</v>
      </c>
      <c r="K19" s="10">
        <f t="shared" ref="K19:K26" si="11">G19*11.04/1000</f>
        <v>3422.3999999999996</v>
      </c>
      <c r="L19" s="10">
        <f t="shared" ref="L19:L26" si="12">H19*0.15</f>
        <v>8835</v>
      </c>
      <c r="M19" s="58">
        <v>0</v>
      </c>
      <c r="N19" s="10">
        <f t="shared" ref="N19:N26" si="13">SUM(J19:M19)</f>
        <v>24657.4</v>
      </c>
      <c r="O19" s="10">
        <f t="shared" ref="O19:O26" si="14">+I19-N19</f>
        <v>344242.6</v>
      </c>
      <c r="P19" s="57">
        <v>45002</v>
      </c>
      <c r="Q19" s="40" t="s">
        <v>24</v>
      </c>
      <c r="R19" s="9">
        <v>344243</v>
      </c>
      <c r="S19" s="10">
        <f t="shared" ref="S19:S26" si="15">+O19-R19</f>
        <v>-0.40000000002328306</v>
      </c>
      <c r="T19" s="6" t="s">
        <v>25</v>
      </c>
    </row>
    <row r="20" spans="1:21">
      <c r="A20" s="143"/>
      <c r="B20" s="6" t="s">
        <v>73</v>
      </c>
      <c r="C20" s="6" t="s">
        <v>21</v>
      </c>
      <c r="D20" s="7" t="s">
        <v>47</v>
      </c>
      <c r="E20" s="8">
        <v>44963</v>
      </c>
      <c r="F20" s="7" t="s">
        <v>74</v>
      </c>
      <c r="G20" s="9">
        <v>4800000</v>
      </c>
      <c r="H20" s="10">
        <f t="shared" si="8"/>
        <v>912000</v>
      </c>
      <c r="I20" s="10">
        <f t="shared" si="9"/>
        <v>5712000</v>
      </c>
      <c r="J20" s="10">
        <f t="shared" si="10"/>
        <v>192000</v>
      </c>
      <c r="K20" s="10">
        <f t="shared" si="11"/>
        <v>52991.999999999993</v>
      </c>
      <c r="L20" s="10">
        <f t="shared" si="12"/>
        <v>136800</v>
      </c>
      <c r="M20" s="58">
        <v>0</v>
      </c>
      <c r="N20" s="10">
        <f t="shared" si="13"/>
        <v>381792</v>
      </c>
      <c r="O20" s="10">
        <f t="shared" si="14"/>
        <v>5330208</v>
      </c>
      <c r="P20" s="57">
        <v>45016</v>
      </c>
      <c r="Q20" s="40" t="s">
        <v>24</v>
      </c>
      <c r="R20" s="9">
        <v>5330208</v>
      </c>
      <c r="S20" s="10">
        <f t="shared" si="15"/>
        <v>0</v>
      </c>
      <c r="T20" s="6" t="s">
        <v>25</v>
      </c>
    </row>
    <row r="21" spans="1:21">
      <c r="A21" s="143"/>
      <c r="B21" s="6" t="s">
        <v>75</v>
      </c>
      <c r="C21" s="6" t="s">
        <v>21</v>
      </c>
      <c r="D21" s="7" t="s">
        <v>47</v>
      </c>
      <c r="E21" s="8">
        <v>44963</v>
      </c>
      <c r="F21" s="7" t="s">
        <v>76</v>
      </c>
      <c r="G21" s="9">
        <v>500000</v>
      </c>
      <c r="H21" s="10">
        <f t="shared" si="8"/>
        <v>95000</v>
      </c>
      <c r="I21" s="10">
        <f t="shared" si="9"/>
        <v>595000</v>
      </c>
      <c r="J21" s="10">
        <f t="shared" si="10"/>
        <v>20000</v>
      </c>
      <c r="K21" s="10">
        <f t="shared" si="11"/>
        <v>5520</v>
      </c>
      <c r="L21" s="10">
        <f t="shared" si="12"/>
        <v>14250</v>
      </c>
      <c r="M21" s="58">
        <v>0</v>
      </c>
      <c r="N21" s="10">
        <f t="shared" si="13"/>
        <v>39770</v>
      </c>
      <c r="O21" s="10">
        <f t="shared" si="14"/>
        <v>555230</v>
      </c>
      <c r="P21" s="57">
        <v>45002</v>
      </c>
      <c r="Q21" s="40" t="s">
        <v>24</v>
      </c>
      <c r="R21" s="9">
        <v>555230</v>
      </c>
      <c r="S21" s="10">
        <f t="shared" si="15"/>
        <v>0</v>
      </c>
      <c r="T21" s="6" t="s">
        <v>25</v>
      </c>
    </row>
    <row r="22" spans="1:21">
      <c r="A22" s="143"/>
      <c r="B22" s="6" t="s">
        <v>77</v>
      </c>
      <c r="C22" s="6" t="s">
        <v>78</v>
      </c>
      <c r="D22" s="7" t="s">
        <v>79</v>
      </c>
      <c r="E22" s="8">
        <v>44966</v>
      </c>
      <c r="F22" s="7" t="s">
        <v>80</v>
      </c>
      <c r="G22" s="9">
        <v>1050000</v>
      </c>
      <c r="H22" s="10">
        <f t="shared" si="8"/>
        <v>199500</v>
      </c>
      <c r="I22" s="10">
        <f t="shared" si="9"/>
        <v>1249500</v>
      </c>
      <c r="J22" s="10"/>
      <c r="K22" s="10"/>
      <c r="L22" s="10"/>
      <c r="M22" s="58">
        <v>0</v>
      </c>
      <c r="N22" s="10">
        <f t="shared" si="13"/>
        <v>0</v>
      </c>
      <c r="O22" s="10">
        <f t="shared" si="14"/>
        <v>1249500</v>
      </c>
      <c r="P22" s="7"/>
      <c r="Q22" s="6"/>
      <c r="R22" s="9"/>
      <c r="S22" s="10">
        <f t="shared" si="15"/>
        <v>1249500</v>
      </c>
      <c r="T22" s="6"/>
      <c r="U22" s="3"/>
    </row>
    <row r="23" spans="1:21">
      <c r="A23" s="143"/>
      <c r="B23" s="6" t="s">
        <v>81</v>
      </c>
      <c r="C23" s="6" t="s">
        <v>21</v>
      </c>
      <c r="D23" s="7" t="s">
        <v>47</v>
      </c>
      <c r="E23" s="8">
        <v>44970</v>
      </c>
      <c r="F23" s="7" t="s">
        <v>82</v>
      </c>
      <c r="G23" s="9">
        <v>4000000</v>
      </c>
      <c r="H23" s="10">
        <f t="shared" si="8"/>
        <v>760000</v>
      </c>
      <c r="I23" s="10">
        <f t="shared" si="9"/>
        <v>4760000</v>
      </c>
      <c r="J23" s="10">
        <f>G23*0.025</f>
        <v>100000</v>
      </c>
      <c r="K23" s="10">
        <f t="shared" si="11"/>
        <v>44160</v>
      </c>
      <c r="L23" s="10">
        <f t="shared" si="12"/>
        <v>114000</v>
      </c>
      <c r="M23" s="58">
        <v>0</v>
      </c>
      <c r="N23" s="10">
        <f t="shared" si="13"/>
        <v>258160</v>
      </c>
      <c r="O23" s="10">
        <f t="shared" si="14"/>
        <v>4501840</v>
      </c>
      <c r="P23" s="57">
        <v>45026</v>
      </c>
      <c r="Q23" s="40" t="s">
        <v>24</v>
      </c>
      <c r="R23" s="9">
        <v>4501840</v>
      </c>
      <c r="S23" s="10">
        <f t="shared" si="15"/>
        <v>0</v>
      </c>
      <c r="T23" s="6" t="s">
        <v>25</v>
      </c>
    </row>
    <row r="24" spans="1:21">
      <c r="A24" s="143"/>
      <c r="B24" s="6" t="s">
        <v>83</v>
      </c>
      <c r="C24" s="6" t="s">
        <v>21</v>
      </c>
      <c r="D24" s="7" t="s">
        <v>47</v>
      </c>
      <c r="E24" s="8">
        <v>44970</v>
      </c>
      <c r="F24" s="7" t="s">
        <v>84</v>
      </c>
      <c r="G24" s="9">
        <v>880000</v>
      </c>
      <c r="H24" s="10">
        <f t="shared" si="8"/>
        <v>167200</v>
      </c>
      <c r="I24" s="10">
        <f t="shared" si="9"/>
        <v>1047200</v>
      </c>
      <c r="J24" s="10">
        <f t="shared" si="10"/>
        <v>35200</v>
      </c>
      <c r="K24" s="10">
        <f t="shared" si="11"/>
        <v>9715.2000000000007</v>
      </c>
      <c r="L24" s="10">
        <f t="shared" si="12"/>
        <v>25080</v>
      </c>
      <c r="M24" s="58">
        <v>0</v>
      </c>
      <c r="N24" s="10">
        <f t="shared" si="13"/>
        <v>69995.199999999997</v>
      </c>
      <c r="O24" s="10">
        <f t="shared" si="14"/>
        <v>977204.8</v>
      </c>
      <c r="P24" s="57">
        <v>45026</v>
      </c>
      <c r="Q24" s="40" t="s">
        <v>24</v>
      </c>
      <c r="R24" s="9">
        <v>977205</v>
      </c>
      <c r="S24" s="10">
        <f t="shared" si="15"/>
        <v>-0.19999999995343387</v>
      </c>
      <c r="T24" s="6" t="s">
        <v>25</v>
      </c>
    </row>
    <row r="25" spans="1:21">
      <c r="A25" s="143"/>
      <c r="B25" s="6" t="s">
        <v>85</v>
      </c>
      <c r="C25" s="6" t="s">
        <v>21</v>
      </c>
      <c r="D25" s="7" t="s">
        <v>47</v>
      </c>
      <c r="E25" s="8">
        <v>44974</v>
      </c>
      <c r="F25" s="7" t="s">
        <v>86</v>
      </c>
      <c r="G25" s="9">
        <v>3000000</v>
      </c>
      <c r="H25" s="10">
        <f t="shared" si="8"/>
        <v>570000</v>
      </c>
      <c r="I25" s="10">
        <f t="shared" si="9"/>
        <v>3570000</v>
      </c>
      <c r="J25" s="10"/>
      <c r="K25" s="10"/>
      <c r="L25" s="10">
        <f t="shared" si="12"/>
        <v>85500</v>
      </c>
      <c r="M25" s="58">
        <v>0</v>
      </c>
      <c r="N25" s="10">
        <f t="shared" si="13"/>
        <v>85500</v>
      </c>
      <c r="O25" s="10">
        <f t="shared" si="14"/>
        <v>3484500</v>
      </c>
      <c r="P25" s="57">
        <v>45065</v>
      </c>
      <c r="Q25" s="40" t="s">
        <v>24</v>
      </c>
      <c r="R25" s="9">
        <v>3484500</v>
      </c>
      <c r="S25" s="10">
        <f t="shared" si="15"/>
        <v>0</v>
      </c>
      <c r="T25" s="6" t="s">
        <v>25</v>
      </c>
    </row>
    <row r="26" spans="1:21">
      <c r="A26" s="143"/>
      <c r="B26" s="6" t="s">
        <v>87</v>
      </c>
      <c r="C26" s="6" t="s">
        <v>21</v>
      </c>
      <c r="D26" s="7" t="s">
        <v>47</v>
      </c>
      <c r="E26" s="8">
        <v>44977</v>
      </c>
      <c r="F26" s="7" t="s">
        <v>88</v>
      </c>
      <c r="G26" s="9">
        <v>850000</v>
      </c>
      <c r="H26" s="10">
        <f t="shared" si="8"/>
        <v>161500</v>
      </c>
      <c r="I26" s="10">
        <f t="shared" si="9"/>
        <v>1011500</v>
      </c>
      <c r="J26" s="10">
        <f t="shared" si="10"/>
        <v>34000</v>
      </c>
      <c r="K26" s="10">
        <f t="shared" si="11"/>
        <v>9384</v>
      </c>
      <c r="L26" s="10">
        <f t="shared" si="12"/>
        <v>24225</v>
      </c>
      <c r="M26" s="58">
        <v>0</v>
      </c>
      <c r="N26" s="10">
        <f t="shared" si="13"/>
        <v>67609</v>
      </c>
      <c r="O26" s="10">
        <f t="shared" si="14"/>
        <v>943891</v>
      </c>
      <c r="P26" s="57">
        <v>45037</v>
      </c>
      <c r="Q26" s="40" t="s">
        <v>24</v>
      </c>
      <c r="R26" s="9">
        <v>142891</v>
      </c>
      <c r="S26" s="59">
        <f t="shared" si="15"/>
        <v>801000</v>
      </c>
      <c r="T26" s="6" t="s">
        <v>25</v>
      </c>
      <c r="U26" t="s">
        <v>89</v>
      </c>
    </row>
    <row r="27" spans="1:21">
      <c r="A27" s="143"/>
      <c r="B27" s="11"/>
      <c r="C27" s="11"/>
      <c r="D27" s="12"/>
      <c r="E27" s="13"/>
      <c r="F27" s="12"/>
      <c r="G27" s="14">
        <f>SUM(G19:G26)</f>
        <v>15390000</v>
      </c>
      <c r="H27" s="14">
        <f>SUM(H19:H26)</f>
        <v>2924100</v>
      </c>
      <c r="I27" s="14">
        <f t="shared" ref="I27:R27" si="16">SUM(I19:I26)</f>
        <v>18314100</v>
      </c>
      <c r="J27" s="14">
        <f t="shared" si="16"/>
        <v>393600</v>
      </c>
      <c r="K27" s="14">
        <f t="shared" si="16"/>
        <v>125193.59999999999</v>
      </c>
      <c r="L27" s="14">
        <f t="shared" si="16"/>
        <v>408690</v>
      </c>
      <c r="M27" s="15">
        <f t="shared" si="16"/>
        <v>0</v>
      </c>
      <c r="N27" s="14">
        <f t="shared" si="16"/>
        <v>927483.6</v>
      </c>
      <c r="O27" s="14">
        <f t="shared" si="16"/>
        <v>17386616.399999999</v>
      </c>
      <c r="P27" s="14">
        <f t="shared" si="16"/>
        <v>315174</v>
      </c>
      <c r="Q27" s="15">
        <f t="shared" si="16"/>
        <v>0</v>
      </c>
      <c r="R27" s="14">
        <f t="shared" si="16"/>
        <v>15336117</v>
      </c>
      <c r="S27" s="14">
        <f>SUM(S19:S26)</f>
        <v>2050499.4000000001</v>
      </c>
      <c r="T27" s="15"/>
    </row>
    <row r="28" spans="1:21">
      <c r="E28" s="5"/>
      <c r="G28" s="2"/>
      <c r="H28" s="3"/>
      <c r="I28" s="3"/>
      <c r="J28" s="3"/>
      <c r="K28" s="3"/>
      <c r="L28" s="3"/>
      <c r="N28" s="3"/>
      <c r="O28" s="3">
        <f>+O25+O36</f>
        <v>3664499.4</v>
      </c>
      <c r="S28" s="3"/>
    </row>
    <row r="29" spans="1:21">
      <c r="A29" s="143" t="s">
        <v>90</v>
      </c>
      <c r="B29" s="6" t="s">
        <v>91</v>
      </c>
      <c r="C29" s="6" t="s">
        <v>21</v>
      </c>
      <c r="D29" s="7" t="s">
        <v>47</v>
      </c>
      <c r="E29" s="8">
        <v>44991</v>
      </c>
      <c r="F29" s="7" t="s">
        <v>92</v>
      </c>
      <c r="G29" s="9">
        <v>3980000</v>
      </c>
      <c r="H29" s="10">
        <f t="shared" ref="H29:H36" si="17">G29*0.19</f>
        <v>756200</v>
      </c>
      <c r="I29" s="10">
        <f t="shared" ref="I29:I36" si="18">G29+H29</f>
        <v>4736200</v>
      </c>
      <c r="J29" s="10">
        <f>G29*0.025</f>
        <v>99500</v>
      </c>
      <c r="K29" s="10">
        <f t="shared" ref="K29:K34" si="19">G29*11.04/1000</f>
        <v>43939.199999999997</v>
      </c>
      <c r="L29" s="10">
        <f t="shared" ref="L29:L34" si="20">H29*0.15</f>
        <v>113430</v>
      </c>
      <c r="M29" s="58">
        <v>0</v>
      </c>
      <c r="N29" s="10">
        <f t="shared" ref="N29:N36" si="21">SUM(J29:M29)</f>
        <v>256869.2</v>
      </c>
      <c r="O29" s="10">
        <f t="shared" ref="O29:O36" si="22">+I29-N29</f>
        <v>4479330.8</v>
      </c>
      <c r="P29" s="57">
        <v>45044</v>
      </c>
      <c r="Q29" s="40" t="s">
        <v>24</v>
      </c>
      <c r="R29" s="9">
        <v>4479331</v>
      </c>
      <c r="S29" s="10">
        <f t="shared" ref="S29:S36" si="23">+O29-R29</f>
        <v>-0.20000000018626451</v>
      </c>
      <c r="T29" s="6" t="s">
        <v>25</v>
      </c>
    </row>
    <row r="30" spans="1:21">
      <c r="A30" s="143"/>
      <c r="B30" s="6" t="s">
        <v>93</v>
      </c>
      <c r="C30" s="6" t="s">
        <v>94</v>
      </c>
      <c r="D30" s="7" t="s">
        <v>95</v>
      </c>
      <c r="E30" s="8">
        <v>44991</v>
      </c>
      <c r="F30" s="7" t="s">
        <v>96</v>
      </c>
      <c r="G30" s="9">
        <v>1000000</v>
      </c>
      <c r="H30" s="10">
        <f t="shared" si="17"/>
        <v>190000</v>
      </c>
      <c r="I30" s="10">
        <f t="shared" si="18"/>
        <v>1190000</v>
      </c>
      <c r="J30" s="10"/>
      <c r="K30" s="10"/>
      <c r="L30" s="10"/>
      <c r="M30" s="58">
        <v>0</v>
      </c>
      <c r="N30" s="10">
        <f t="shared" si="21"/>
        <v>0</v>
      </c>
      <c r="O30" s="10">
        <f t="shared" si="22"/>
        <v>1190000</v>
      </c>
      <c r="P30" s="7"/>
      <c r="Q30" s="6"/>
      <c r="R30" s="9"/>
      <c r="S30" s="10">
        <f t="shared" si="23"/>
        <v>1190000</v>
      </c>
      <c r="T30" s="6"/>
      <c r="U30" s="3"/>
    </row>
    <row r="31" spans="1:21">
      <c r="A31" s="143"/>
      <c r="B31" s="6" t="s">
        <v>97</v>
      </c>
      <c r="C31" s="6" t="s">
        <v>21</v>
      </c>
      <c r="D31" s="7" t="s">
        <v>47</v>
      </c>
      <c r="E31" s="8">
        <v>44991</v>
      </c>
      <c r="F31" s="7" t="s">
        <v>98</v>
      </c>
      <c r="G31" s="9">
        <v>900000</v>
      </c>
      <c r="H31" s="10">
        <f t="shared" si="17"/>
        <v>171000</v>
      </c>
      <c r="I31" s="10">
        <f t="shared" si="18"/>
        <v>1071000</v>
      </c>
      <c r="J31" s="10">
        <f>G31*0.025</f>
        <v>22500</v>
      </c>
      <c r="K31" s="10">
        <f t="shared" si="19"/>
        <v>9936</v>
      </c>
      <c r="L31" s="10">
        <f t="shared" si="20"/>
        <v>25650</v>
      </c>
      <c r="M31" s="58">
        <v>16838</v>
      </c>
      <c r="N31" s="10">
        <f t="shared" si="21"/>
        <v>74924</v>
      </c>
      <c r="O31" s="10">
        <f t="shared" si="22"/>
        <v>996076</v>
      </c>
      <c r="P31" s="57">
        <v>45030</v>
      </c>
      <c r="Q31" s="40" t="s">
        <v>24</v>
      </c>
      <c r="R31" s="9">
        <v>996076</v>
      </c>
      <c r="S31" s="10">
        <f t="shared" si="23"/>
        <v>0</v>
      </c>
      <c r="T31" s="6" t="s">
        <v>25</v>
      </c>
    </row>
    <row r="32" spans="1:21">
      <c r="A32" s="143"/>
      <c r="B32" s="6" t="s">
        <v>99</v>
      </c>
      <c r="C32" s="6" t="s">
        <v>21</v>
      </c>
      <c r="D32" s="7" t="s">
        <v>47</v>
      </c>
      <c r="E32" s="8">
        <v>44992</v>
      </c>
      <c r="F32" s="7" t="s">
        <v>100</v>
      </c>
      <c r="G32" s="9">
        <v>700000</v>
      </c>
      <c r="H32" s="10">
        <f t="shared" si="17"/>
        <v>133000</v>
      </c>
      <c r="I32" s="10">
        <f t="shared" si="18"/>
        <v>833000</v>
      </c>
      <c r="J32" s="10">
        <f>G32*0.025</f>
        <v>17500</v>
      </c>
      <c r="K32" s="10">
        <f t="shared" si="19"/>
        <v>7727.9999999999991</v>
      </c>
      <c r="L32" s="10">
        <f t="shared" si="20"/>
        <v>19950</v>
      </c>
      <c r="M32" s="58">
        <v>0</v>
      </c>
      <c r="N32" s="10">
        <f t="shared" si="21"/>
        <v>45178</v>
      </c>
      <c r="O32" s="10">
        <f t="shared" si="22"/>
        <v>787822</v>
      </c>
      <c r="P32" s="57">
        <v>45030</v>
      </c>
      <c r="Q32" s="40" t="s">
        <v>24</v>
      </c>
      <c r="R32" s="9">
        <v>787822</v>
      </c>
      <c r="S32" s="10">
        <f t="shared" si="23"/>
        <v>0</v>
      </c>
      <c r="T32" s="6" t="s">
        <v>25</v>
      </c>
      <c r="U32" s="3"/>
    </row>
    <row r="33" spans="1:21">
      <c r="A33" s="143"/>
      <c r="B33" s="6" t="s">
        <v>101</v>
      </c>
      <c r="C33" s="6" t="s">
        <v>21</v>
      </c>
      <c r="D33" s="7" t="s">
        <v>47</v>
      </c>
      <c r="E33" s="8">
        <v>44992</v>
      </c>
      <c r="F33" s="7" t="s">
        <v>102</v>
      </c>
      <c r="G33" s="9">
        <v>2500000</v>
      </c>
      <c r="H33" s="10">
        <f t="shared" si="17"/>
        <v>475000</v>
      </c>
      <c r="I33" s="10">
        <f t="shared" si="18"/>
        <v>2975000</v>
      </c>
      <c r="J33" s="10">
        <f>G33*0.025</f>
        <v>62500</v>
      </c>
      <c r="K33" s="10">
        <f t="shared" si="19"/>
        <v>27599.999999999996</v>
      </c>
      <c r="L33" s="10">
        <f t="shared" si="20"/>
        <v>71250</v>
      </c>
      <c r="M33" s="58">
        <v>23386</v>
      </c>
      <c r="N33" s="10">
        <f t="shared" si="21"/>
        <v>184736</v>
      </c>
      <c r="O33" s="10">
        <f t="shared" si="22"/>
        <v>2790264</v>
      </c>
      <c r="P33" s="57">
        <v>45030</v>
      </c>
      <c r="Q33" s="40" t="s">
        <v>24</v>
      </c>
      <c r="R33" s="9">
        <v>2790264</v>
      </c>
      <c r="S33" s="10">
        <f t="shared" si="23"/>
        <v>0</v>
      </c>
      <c r="T33" s="6" t="s">
        <v>25</v>
      </c>
    </row>
    <row r="34" spans="1:21" ht="16.5" customHeight="1">
      <c r="A34" s="143"/>
      <c r="B34" s="6" t="s">
        <v>103</v>
      </c>
      <c r="C34" s="6" t="s">
        <v>21</v>
      </c>
      <c r="D34" s="7" t="s">
        <v>47</v>
      </c>
      <c r="E34" s="8">
        <v>44993</v>
      </c>
      <c r="F34" s="7" t="s">
        <v>104</v>
      </c>
      <c r="G34" s="9">
        <v>800000</v>
      </c>
      <c r="H34" s="10">
        <f t="shared" si="17"/>
        <v>152000</v>
      </c>
      <c r="I34" s="10">
        <f t="shared" si="18"/>
        <v>952000</v>
      </c>
      <c r="J34" s="10">
        <f>G34*0.025</f>
        <v>20000</v>
      </c>
      <c r="K34" s="10">
        <f t="shared" si="19"/>
        <v>8832</v>
      </c>
      <c r="L34" s="10">
        <f t="shared" si="20"/>
        <v>22800</v>
      </c>
      <c r="M34" s="58">
        <v>0</v>
      </c>
      <c r="N34" s="10">
        <f t="shared" si="21"/>
        <v>51632</v>
      </c>
      <c r="O34" s="10">
        <f t="shared" si="22"/>
        <v>900368</v>
      </c>
      <c r="P34" s="57">
        <v>45030</v>
      </c>
      <c r="Q34" s="40" t="s">
        <v>24</v>
      </c>
      <c r="R34" s="9">
        <v>900368</v>
      </c>
      <c r="S34" s="10">
        <f t="shared" si="23"/>
        <v>0</v>
      </c>
      <c r="T34" s="6" t="s">
        <v>25</v>
      </c>
    </row>
    <row r="35" spans="1:21" ht="16.5" customHeight="1">
      <c r="A35" s="143"/>
      <c r="B35" s="6" t="s">
        <v>105</v>
      </c>
      <c r="C35" s="6" t="s">
        <v>21</v>
      </c>
      <c r="D35" s="7" t="s">
        <v>47</v>
      </c>
      <c r="E35" s="8">
        <v>45000</v>
      </c>
      <c r="F35" s="7" t="s">
        <v>106</v>
      </c>
      <c r="G35" s="9">
        <v>2920000</v>
      </c>
      <c r="H35" s="10">
        <f t="shared" si="17"/>
        <v>554800</v>
      </c>
      <c r="I35" s="10">
        <f t="shared" si="18"/>
        <v>3474800</v>
      </c>
      <c r="J35" s="10"/>
      <c r="K35" s="10"/>
      <c r="L35" s="10"/>
      <c r="M35" s="58">
        <v>0</v>
      </c>
      <c r="N35" s="10">
        <f t="shared" si="21"/>
        <v>0</v>
      </c>
      <c r="O35" s="10">
        <f t="shared" si="22"/>
        <v>3474800</v>
      </c>
      <c r="P35" s="7"/>
      <c r="Q35" s="6"/>
      <c r="R35" s="9"/>
      <c r="S35" s="10">
        <f t="shared" si="23"/>
        <v>3474800</v>
      </c>
      <c r="T35" s="6"/>
    </row>
    <row r="36" spans="1:21" ht="16.5" customHeight="1">
      <c r="A36" s="143"/>
      <c r="B36" s="6" t="s">
        <v>107</v>
      </c>
      <c r="C36" s="6" t="s">
        <v>21</v>
      </c>
      <c r="D36" s="7" t="s">
        <v>47</v>
      </c>
      <c r="E36" s="8">
        <v>45006</v>
      </c>
      <c r="F36" s="7" t="s">
        <v>108</v>
      </c>
      <c r="G36" s="9">
        <v>151260</v>
      </c>
      <c r="H36" s="10">
        <f t="shared" si="17"/>
        <v>28739.4</v>
      </c>
      <c r="I36" s="10">
        <f t="shared" si="18"/>
        <v>179999.4</v>
      </c>
      <c r="J36" s="10"/>
      <c r="K36" s="10"/>
      <c r="L36" s="10"/>
      <c r="M36" s="58">
        <v>0</v>
      </c>
      <c r="N36" s="10">
        <f t="shared" si="21"/>
        <v>0</v>
      </c>
      <c r="O36" s="10">
        <f t="shared" si="22"/>
        <v>179999.4</v>
      </c>
      <c r="P36" s="7"/>
      <c r="Q36" s="6"/>
      <c r="R36" s="9"/>
      <c r="S36" s="10">
        <f t="shared" si="23"/>
        <v>179999.4</v>
      </c>
      <c r="T36" s="6"/>
    </row>
    <row r="37" spans="1:21">
      <c r="A37" s="143"/>
      <c r="B37" s="11"/>
      <c r="C37" s="11"/>
      <c r="D37" s="12"/>
      <c r="E37" s="13"/>
      <c r="F37" s="12"/>
      <c r="G37" s="14">
        <f>SUM(G29:G36)</f>
        <v>12951260</v>
      </c>
      <c r="H37" s="14">
        <f t="shared" ref="H37:S37" si="24">SUM(H29:H36)</f>
        <v>2460739.4</v>
      </c>
      <c r="I37" s="14">
        <f t="shared" si="24"/>
        <v>15411999.4</v>
      </c>
      <c r="J37" s="14">
        <f t="shared" si="24"/>
        <v>222000</v>
      </c>
      <c r="K37" s="14">
        <f t="shared" si="24"/>
        <v>98035.199999999997</v>
      </c>
      <c r="L37" s="14">
        <f t="shared" si="24"/>
        <v>253080</v>
      </c>
      <c r="M37" s="15">
        <f t="shared" si="24"/>
        <v>40224</v>
      </c>
      <c r="N37" s="14">
        <f t="shared" si="24"/>
        <v>613339.19999999995</v>
      </c>
      <c r="O37" s="14">
        <f t="shared" si="24"/>
        <v>14798660.200000001</v>
      </c>
      <c r="P37" s="14">
        <f t="shared" si="24"/>
        <v>225164</v>
      </c>
      <c r="Q37" s="15">
        <f t="shared" si="24"/>
        <v>0</v>
      </c>
      <c r="R37" s="14">
        <f t="shared" si="24"/>
        <v>9953861</v>
      </c>
      <c r="S37" s="14">
        <f t="shared" si="24"/>
        <v>4844799.2</v>
      </c>
      <c r="T37" s="15"/>
    </row>
    <row r="38" spans="1:21" ht="16.5" customHeight="1">
      <c r="E38" s="5"/>
      <c r="G38" s="2"/>
      <c r="H38" s="3"/>
      <c r="I38" s="3"/>
      <c r="J38" s="3"/>
      <c r="K38" s="3"/>
      <c r="L38" s="3"/>
      <c r="N38" s="3"/>
      <c r="O38" s="3">
        <f>+O36+O35</f>
        <v>3654799.4</v>
      </c>
      <c r="S38" s="3"/>
    </row>
    <row r="39" spans="1:21" ht="16.5" customHeight="1">
      <c r="A39" s="143" t="s">
        <v>109</v>
      </c>
      <c r="B39" s="6" t="s">
        <v>110</v>
      </c>
      <c r="C39" s="6" t="s">
        <v>21</v>
      </c>
      <c r="D39" s="7" t="s">
        <v>47</v>
      </c>
      <c r="E39" s="8">
        <v>45036</v>
      </c>
      <c r="F39" s="7" t="s">
        <v>111</v>
      </c>
      <c r="G39" s="9">
        <v>13400000</v>
      </c>
      <c r="H39" s="10">
        <f>G39*0.19</f>
        <v>2546000</v>
      </c>
      <c r="I39" s="10">
        <f>G39+H39</f>
        <v>15946000</v>
      </c>
      <c r="J39" s="10">
        <f>G39*0.025</f>
        <v>335000</v>
      </c>
      <c r="K39" s="10">
        <f>G39*11.04/1000</f>
        <v>147936</v>
      </c>
      <c r="L39" s="10">
        <f>H39*0.15</f>
        <v>381900</v>
      </c>
      <c r="M39" s="58">
        <v>250703</v>
      </c>
      <c r="N39" s="10">
        <f>SUM(J39:M39)</f>
        <v>1115539</v>
      </c>
      <c r="O39" s="10">
        <f>+I39-N39</f>
        <v>14830461</v>
      </c>
      <c r="P39" s="57">
        <v>45072</v>
      </c>
      <c r="Q39" s="40" t="s">
        <v>24</v>
      </c>
      <c r="R39" s="9">
        <v>14830461</v>
      </c>
      <c r="S39" s="10">
        <f>+O39-R39</f>
        <v>0</v>
      </c>
      <c r="T39" s="6" t="s">
        <v>112</v>
      </c>
    </row>
    <row r="40" spans="1:21" ht="16.5" customHeight="1">
      <c r="A40" s="143"/>
      <c r="B40" s="6" t="s">
        <v>113</v>
      </c>
      <c r="C40" s="6" t="s">
        <v>21</v>
      </c>
      <c r="D40" s="7" t="s">
        <v>47</v>
      </c>
      <c r="E40" s="8">
        <v>45036</v>
      </c>
      <c r="F40" s="7" t="s">
        <v>114</v>
      </c>
      <c r="G40" s="9">
        <v>380000</v>
      </c>
      <c r="H40" s="10">
        <f>G40*0.19</f>
        <v>72200</v>
      </c>
      <c r="I40" s="10">
        <f>G40+H40</f>
        <v>452200</v>
      </c>
      <c r="J40" s="10">
        <f>G40*0.025</f>
        <v>9500</v>
      </c>
      <c r="K40" s="10">
        <f>G40*11.04/1000</f>
        <v>4195.2</v>
      </c>
      <c r="L40" s="10">
        <f>H40*0.15</f>
        <v>10830</v>
      </c>
      <c r="M40" s="58">
        <v>7109</v>
      </c>
      <c r="N40" s="10">
        <f>SUM(J40:M40)</f>
        <v>31634.2</v>
      </c>
      <c r="O40" s="10">
        <f>+I40-N40</f>
        <v>420565.8</v>
      </c>
      <c r="P40" s="57">
        <v>45072</v>
      </c>
      <c r="Q40" s="40" t="s">
        <v>24</v>
      </c>
      <c r="R40" s="9">
        <v>420566</v>
      </c>
      <c r="S40" s="10">
        <f>+O40-R40</f>
        <v>-0.20000000001164153</v>
      </c>
      <c r="T40" s="6" t="s">
        <v>112</v>
      </c>
    </row>
    <row r="41" spans="1:21" ht="16.5" customHeight="1">
      <c r="A41" s="143"/>
      <c r="B41" s="6" t="s">
        <v>115</v>
      </c>
      <c r="C41" s="6" t="s">
        <v>21</v>
      </c>
      <c r="D41" s="7" t="s">
        <v>47</v>
      </c>
      <c r="E41" s="8">
        <v>45036</v>
      </c>
      <c r="F41" s="7" t="s">
        <v>116</v>
      </c>
      <c r="G41" s="9">
        <v>2200000</v>
      </c>
      <c r="H41" s="10">
        <f>G41*0.19</f>
        <v>418000</v>
      </c>
      <c r="I41" s="10">
        <f>G41+H41</f>
        <v>2618000</v>
      </c>
      <c r="J41" s="10"/>
      <c r="K41" s="10"/>
      <c r="L41" s="10">
        <f>H41*0.15</f>
        <v>62700</v>
      </c>
      <c r="M41" s="58">
        <v>0</v>
      </c>
      <c r="N41" s="10">
        <f>SUM(J41:M41)</f>
        <v>62700</v>
      </c>
      <c r="O41" s="10">
        <f>+I41-N41</f>
        <v>2555300</v>
      </c>
      <c r="P41" s="57">
        <v>45135</v>
      </c>
      <c r="Q41" s="40" t="s">
        <v>24</v>
      </c>
      <c r="R41" s="9">
        <v>2555300</v>
      </c>
      <c r="S41" s="10">
        <f>+O41-R41</f>
        <v>0</v>
      </c>
      <c r="T41" s="6" t="s">
        <v>112</v>
      </c>
      <c r="U41" s="3"/>
    </row>
    <row r="42" spans="1:21" ht="16.5" customHeight="1">
      <c r="A42" s="143"/>
      <c r="B42" s="6" t="s">
        <v>117</v>
      </c>
      <c r="C42" s="6" t="s">
        <v>21</v>
      </c>
      <c r="D42" s="7" t="s">
        <v>47</v>
      </c>
      <c r="E42" s="8">
        <v>45036</v>
      </c>
      <c r="F42" s="7" t="s">
        <v>118</v>
      </c>
      <c r="G42" s="9">
        <v>1500000</v>
      </c>
      <c r="H42" s="10">
        <f>G42*0.19</f>
        <v>285000</v>
      </c>
      <c r="I42" s="10">
        <f>G42+H42</f>
        <v>1785000</v>
      </c>
      <c r="J42" s="10"/>
      <c r="K42" s="10"/>
      <c r="L42" s="10">
        <f>H42*0.15</f>
        <v>42750</v>
      </c>
      <c r="M42" s="58">
        <v>0</v>
      </c>
      <c r="N42" s="10">
        <f>SUM(J42:M42)</f>
        <v>42750</v>
      </c>
      <c r="O42" s="10">
        <f>+I42-N42</f>
        <v>1742250</v>
      </c>
      <c r="P42" s="57">
        <v>45135</v>
      </c>
      <c r="Q42" s="40" t="s">
        <v>24</v>
      </c>
      <c r="R42" s="9">
        <v>1742250</v>
      </c>
      <c r="S42" s="10">
        <f>+O42-R42</f>
        <v>0</v>
      </c>
      <c r="T42" s="6" t="s">
        <v>112</v>
      </c>
    </row>
    <row r="43" spans="1:21" ht="16.5" customHeight="1">
      <c r="A43" s="143"/>
      <c r="B43" s="6" t="s">
        <v>119</v>
      </c>
      <c r="C43" s="6" t="s">
        <v>21</v>
      </c>
      <c r="D43" s="7" t="s">
        <v>47</v>
      </c>
      <c r="E43" s="8">
        <v>45036</v>
      </c>
      <c r="F43" s="7" t="s">
        <v>120</v>
      </c>
      <c r="G43" s="9">
        <v>420000</v>
      </c>
      <c r="H43" s="10">
        <f>G43*0.19</f>
        <v>79800</v>
      </c>
      <c r="I43" s="10">
        <f>G43+H43</f>
        <v>499800</v>
      </c>
      <c r="J43" s="10">
        <f>G43*0.025</f>
        <v>10500</v>
      </c>
      <c r="K43" s="10">
        <f>G43*11.04/1000</f>
        <v>4636.8</v>
      </c>
      <c r="L43" s="10">
        <f>H43*0.15</f>
        <v>11970</v>
      </c>
      <c r="M43" s="58">
        <v>7858</v>
      </c>
      <c r="N43" s="10">
        <f>SUM(J43:M43)</f>
        <v>34964.800000000003</v>
      </c>
      <c r="O43" s="10">
        <f>+I43-N43</f>
        <v>464835.2</v>
      </c>
      <c r="P43" s="57">
        <v>45072</v>
      </c>
      <c r="Q43" s="40" t="s">
        <v>24</v>
      </c>
      <c r="R43" s="9">
        <v>464835</v>
      </c>
      <c r="S43" s="10">
        <f>+O43-R43</f>
        <v>0.20000000001164153</v>
      </c>
      <c r="T43" s="6" t="s">
        <v>112</v>
      </c>
    </row>
    <row r="44" spans="1:21">
      <c r="A44" s="143"/>
      <c r="B44" s="11"/>
      <c r="C44" s="11"/>
      <c r="D44" s="12"/>
      <c r="E44" s="13"/>
      <c r="F44" s="12"/>
      <c r="G44" s="14">
        <f>SUM(G39:G43)</f>
        <v>17900000</v>
      </c>
      <c r="H44" s="14">
        <f>SUM(H39:H43)</f>
        <v>3401000</v>
      </c>
      <c r="I44" s="14">
        <f t="shared" ref="I44:R44" si="25">SUM(I39:I43)</f>
        <v>21301000</v>
      </c>
      <c r="J44" s="14">
        <f t="shared" si="25"/>
        <v>355000</v>
      </c>
      <c r="K44" s="14">
        <f t="shared" si="25"/>
        <v>156768</v>
      </c>
      <c r="L44" s="14">
        <f t="shared" si="25"/>
        <v>510150</v>
      </c>
      <c r="M44" s="15">
        <f t="shared" si="25"/>
        <v>265670</v>
      </c>
      <c r="N44" s="14">
        <f t="shared" si="25"/>
        <v>1287588</v>
      </c>
      <c r="O44" s="14">
        <f>SUM(O39:O43)</f>
        <v>20013412</v>
      </c>
      <c r="P44" s="14">
        <f t="shared" si="25"/>
        <v>225486</v>
      </c>
      <c r="Q44" s="15">
        <f t="shared" si="25"/>
        <v>0</v>
      </c>
      <c r="R44" s="14">
        <f t="shared" si="25"/>
        <v>20013412</v>
      </c>
      <c r="S44" s="14">
        <f>SUM(S39:S43)</f>
        <v>0</v>
      </c>
      <c r="T44" s="15"/>
    </row>
    <row r="45" spans="1:21" ht="16.5" customHeight="1">
      <c r="A45" s="4"/>
      <c r="E45" s="5"/>
      <c r="G45" s="2"/>
      <c r="H45" s="3"/>
      <c r="I45" s="3"/>
      <c r="J45" s="3"/>
      <c r="K45" s="3"/>
      <c r="L45" s="3"/>
      <c r="N45" s="3"/>
      <c r="O45" s="3"/>
      <c r="S45" s="3"/>
    </row>
    <row r="46" spans="1:21" ht="16.5" customHeight="1">
      <c r="A46" s="143" t="s">
        <v>121</v>
      </c>
      <c r="B46" s="6" t="s">
        <v>122</v>
      </c>
      <c r="C46" s="6" t="s">
        <v>21</v>
      </c>
      <c r="D46" s="7" t="s">
        <v>47</v>
      </c>
      <c r="E46" s="8">
        <v>45048</v>
      </c>
      <c r="F46" s="7" t="s">
        <v>123</v>
      </c>
      <c r="G46" s="9">
        <v>2030000</v>
      </c>
      <c r="H46" s="10">
        <f t="shared" ref="H46:H53" si="26">G46*0.19</f>
        <v>385700</v>
      </c>
      <c r="I46" s="10">
        <f t="shared" ref="I46:I53" si="27">G46+H46</f>
        <v>2415700</v>
      </c>
      <c r="J46" s="10">
        <f>G46*0.025</f>
        <v>50750</v>
      </c>
      <c r="K46" s="10">
        <f t="shared" ref="K46:K53" si="28">G46*11.04/1000</f>
        <v>22411.200000000001</v>
      </c>
      <c r="L46" s="10">
        <f t="shared" ref="L46:L53" si="29">H46*0.15</f>
        <v>57855</v>
      </c>
      <c r="M46" s="58">
        <v>0</v>
      </c>
      <c r="N46" s="10">
        <f t="shared" ref="N46:N53" si="30">SUM(J46:M46)</f>
        <v>131016.2</v>
      </c>
      <c r="O46" s="10">
        <f t="shared" ref="O46:O53" si="31">+I46-N46</f>
        <v>2284683.7999999998</v>
      </c>
      <c r="P46" s="57">
        <v>45114</v>
      </c>
      <c r="Q46" s="40" t="s">
        <v>24</v>
      </c>
      <c r="R46" s="9">
        <v>2284684</v>
      </c>
      <c r="S46" s="10">
        <f t="shared" ref="S46:S53" si="32">+O46-R46</f>
        <v>-0.20000000018626451</v>
      </c>
      <c r="T46" s="6" t="s">
        <v>112</v>
      </c>
    </row>
    <row r="47" spans="1:21" ht="16.5" customHeight="1">
      <c r="A47" s="143"/>
      <c r="B47" s="6" t="s">
        <v>124</v>
      </c>
      <c r="C47" s="6" t="s">
        <v>21</v>
      </c>
      <c r="D47" s="7" t="s">
        <v>47</v>
      </c>
      <c r="E47" s="8">
        <v>45048</v>
      </c>
      <c r="F47" s="7" t="s">
        <v>125</v>
      </c>
      <c r="G47" s="9">
        <v>3800000</v>
      </c>
      <c r="H47" s="10">
        <f t="shared" si="26"/>
        <v>722000</v>
      </c>
      <c r="I47" s="10">
        <f t="shared" si="27"/>
        <v>4522000</v>
      </c>
      <c r="J47" s="10">
        <f>G47*0.025</f>
        <v>95000</v>
      </c>
      <c r="K47" s="10">
        <f t="shared" si="28"/>
        <v>41952</v>
      </c>
      <c r="L47" s="10">
        <f t="shared" si="29"/>
        <v>108300</v>
      </c>
      <c r="M47" s="58">
        <v>71095</v>
      </c>
      <c r="N47" s="10">
        <f t="shared" si="30"/>
        <v>316347</v>
      </c>
      <c r="O47" s="10">
        <f t="shared" si="31"/>
        <v>4205653</v>
      </c>
      <c r="P47" s="57">
        <v>45086</v>
      </c>
      <c r="Q47" s="40" t="s">
        <v>24</v>
      </c>
      <c r="R47" s="9">
        <v>4205653</v>
      </c>
      <c r="S47" s="10">
        <f t="shared" si="32"/>
        <v>0</v>
      </c>
      <c r="T47" s="6" t="s">
        <v>112</v>
      </c>
    </row>
    <row r="48" spans="1:21" ht="16.5" customHeight="1">
      <c r="A48" s="143"/>
      <c r="B48" s="6" t="s">
        <v>126</v>
      </c>
      <c r="C48" s="6" t="s">
        <v>21</v>
      </c>
      <c r="D48" s="7" t="s">
        <v>47</v>
      </c>
      <c r="E48" s="8">
        <v>45048</v>
      </c>
      <c r="F48" s="7" t="s">
        <v>76</v>
      </c>
      <c r="G48" s="9">
        <v>750000</v>
      </c>
      <c r="H48" s="10">
        <f t="shared" si="26"/>
        <v>142500</v>
      </c>
      <c r="I48" s="10">
        <f t="shared" si="27"/>
        <v>892500</v>
      </c>
      <c r="J48" s="10">
        <f>G48*0.025</f>
        <v>18750</v>
      </c>
      <c r="K48" s="10">
        <f t="shared" si="28"/>
        <v>8279.9999999999982</v>
      </c>
      <c r="L48" s="10">
        <f t="shared" si="29"/>
        <v>21375</v>
      </c>
      <c r="M48" s="58">
        <v>0</v>
      </c>
      <c r="N48" s="10">
        <f t="shared" si="30"/>
        <v>48405</v>
      </c>
      <c r="O48" s="10">
        <f t="shared" si="31"/>
        <v>844095</v>
      </c>
      <c r="P48" s="57">
        <v>45086</v>
      </c>
      <c r="Q48" s="40" t="s">
        <v>24</v>
      </c>
      <c r="R48" s="9">
        <v>844095</v>
      </c>
      <c r="S48" s="10">
        <f t="shared" si="32"/>
        <v>0</v>
      </c>
      <c r="T48" s="6" t="s">
        <v>112</v>
      </c>
      <c r="U48" s="3"/>
    </row>
    <row r="49" spans="1:22" ht="16.5" customHeight="1">
      <c r="A49" s="143"/>
      <c r="B49" s="6" t="s">
        <v>127</v>
      </c>
      <c r="C49" s="6" t="s">
        <v>21</v>
      </c>
      <c r="D49" s="7" t="s">
        <v>47</v>
      </c>
      <c r="E49" s="8">
        <v>45048</v>
      </c>
      <c r="F49" s="7" t="s">
        <v>76</v>
      </c>
      <c r="G49" s="9">
        <v>500000</v>
      </c>
      <c r="H49" s="10">
        <f t="shared" si="26"/>
        <v>95000</v>
      </c>
      <c r="I49" s="10">
        <f t="shared" si="27"/>
        <v>595000</v>
      </c>
      <c r="J49" s="10">
        <f>G49*0.025</f>
        <v>12500</v>
      </c>
      <c r="K49" s="10">
        <f t="shared" si="28"/>
        <v>5520</v>
      </c>
      <c r="L49" s="10">
        <f t="shared" si="29"/>
        <v>14250</v>
      </c>
      <c r="M49" s="58">
        <v>0</v>
      </c>
      <c r="N49" s="10">
        <f t="shared" si="30"/>
        <v>32270</v>
      </c>
      <c r="O49" s="10">
        <f t="shared" si="31"/>
        <v>562730</v>
      </c>
      <c r="P49" s="57">
        <v>45086</v>
      </c>
      <c r="Q49" s="40" t="s">
        <v>24</v>
      </c>
      <c r="R49" s="9">
        <v>562730</v>
      </c>
      <c r="S49" s="10">
        <f t="shared" si="32"/>
        <v>0</v>
      </c>
      <c r="T49" s="6" t="s">
        <v>112</v>
      </c>
    </row>
    <row r="50" spans="1:22" ht="16.5" customHeight="1">
      <c r="A50" s="143"/>
      <c r="B50" s="6" t="s">
        <v>128</v>
      </c>
      <c r="C50" s="6" t="s">
        <v>21</v>
      </c>
      <c r="D50" s="7" t="s">
        <v>47</v>
      </c>
      <c r="E50" s="8">
        <v>45051</v>
      </c>
      <c r="F50" s="7" t="s">
        <v>129</v>
      </c>
      <c r="G50" s="9">
        <v>2480000</v>
      </c>
      <c r="H50" s="10">
        <f t="shared" si="26"/>
        <v>471200</v>
      </c>
      <c r="I50" s="10">
        <f t="shared" si="27"/>
        <v>2951200</v>
      </c>
      <c r="J50" s="10"/>
      <c r="K50" s="10"/>
      <c r="L50" s="10">
        <f t="shared" si="29"/>
        <v>70680</v>
      </c>
      <c r="M50" s="58">
        <v>0</v>
      </c>
      <c r="N50" s="10">
        <f t="shared" si="30"/>
        <v>70680</v>
      </c>
      <c r="O50" s="10">
        <f t="shared" si="31"/>
        <v>2880520</v>
      </c>
      <c r="P50" s="57">
        <v>45135</v>
      </c>
      <c r="Q50" s="40" t="s">
        <v>24</v>
      </c>
      <c r="R50" s="9">
        <v>2880520</v>
      </c>
      <c r="S50" s="10">
        <f t="shared" si="32"/>
        <v>0</v>
      </c>
      <c r="T50" s="6" t="s">
        <v>112</v>
      </c>
    </row>
    <row r="51" spans="1:22" ht="16.5" customHeight="1">
      <c r="A51" s="143"/>
      <c r="B51" s="6" t="s">
        <v>130</v>
      </c>
      <c r="C51" s="6" t="s">
        <v>21</v>
      </c>
      <c r="D51" s="7" t="s">
        <v>47</v>
      </c>
      <c r="E51" s="8">
        <v>45051</v>
      </c>
      <c r="F51" s="7" t="s">
        <v>82</v>
      </c>
      <c r="G51" s="9">
        <v>4000000</v>
      </c>
      <c r="H51" s="10">
        <f t="shared" si="26"/>
        <v>760000</v>
      </c>
      <c r="I51" s="10">
        <f t="shared" si="27"/>
        <v>4760000</v>
      </c>
      <c r="J51" s="10">
        <f>G51*0.025</f>
        <v>100000</v>
      </c>
      <c r="K51" s="10">
        <f t="shared" si="28"/>
        <v>44160</v>
      </c>
      <c r="L51" s="10">
        <f t="shared" si="29"/>
        <v>114000</v>
      </c>
      <c r="M51" s="58">
        <v>74837</v>
      </c>
      <c r="N51" s="10">
        <f t="shared" si="30"/>
        <v>332997</v>
      </c>
      <c r="O51" s="10">
        <f t="shared" si="31"/>
        <v>4427003</v>
      </c>
      <c r="P51" s="57">
        <v>45086</v>
      </c>
      <c r="Q51" s="40" t="s">
        <v>24</v>
      </c>
      <c r="R51" s="9">
        <v>4427003</v>
      </c>
      <c r="S51" s="10">
        <f t="shared" si="32"/>
        <v>0</v>
      </c>
      <c r="T51" s="6" t="s">
        <v>112</v>
      </c>
    </row>
    <row r="52" spans="1:22">
      <c r="A52" s="143"/>
      <c r="B52" s="6" t="s">
        <v>131</v>
      </c>
      <c r="C52" s="6" t="s">
        <v>132</v>
      </c>
      <c r="D52" s="7" t="s">
        <v>133</v>
      </c>
      <c r="E52" s="8">
        <v>45055</v>
      </c>
      <c r="F52" s="7" t="s">
        <v>134</v>
      </c>
      <c r="G52" s="9">
        <v>1000</v>
      </c>
      <c r="H52" s="10">
        <f t="shared" si="26"/>
        <v>190</v>
      </c>
      <c r="I52" s="10">
        <f t="shared" si="27"/>
        <v>1190</v>
      </c>
      <c r="J52" s="10"/>
      <c r="K52" s="10"/>
      <c r="L52" s="10"/>
      <c r="M52" s="58">
        <v>0</v>
      </c>
      <c r="N52" s="10">
        <f t="shared" si="30"/>
        <v>0</v>
      </c>
      <c r="O52" s="10">
        <f t="shared" si="31"/>
        <v>1190</v>
      </c>
      <c r="P52" s="57">
        <v>45086</v>
      </c>
      <c r="Q52" s="40" t="s">
        <v>135</v>
      </c>
      <c r="R52" s="9">
        <v>1190</v>
      </c>
      <c r="S52" s="10">
        <f t="shared" si="32"/>
        <v>0</v>
      </c>
      <c r="T52" s="6" t="s">
        <v>112</v>
      </c>
    </row>
    <row r="53" spans="1:22" ht="16.5" customHeight="1">
      <c r="A53" s="143"/>
      <c r="B53" s="6" t="s">
        <v>136</v>
      </c>
      <c r="C53" s="6" t="s">
        <v>21</v>
      </c>
      <c r="D53" s="7" t="s">
        <v>47</v>
      </c>
      <c r="E53" s="8">
        <v>45065</v>
      </c>
      <c r="F53" s="7" t="s">
        <v>82</v>
      </c>
      <c r="G53" s="9">
        <v>4000000</v>
      </c>
      <c r="H53" s="10">
        <f t="shared" si="26"/>
        <v>760000</v>
      </c>
      <c r="I53" s="10">
        <f t="shared" si="27"/>
        <v>4760000</v>
      </c>
      <c r="J53" s="10">
        <f>G53*0.025</f>
        <v>100000</v>
      </c>
      <c r="K53" s="10">
        <f t="shared" si="28"/>
        <v>44160</v>
      </c>
      <c r="L53" s="10">
        <f t="shared" si="29"/>
        <v>114000</v>
      </c>
      <c r="M53" s="58">
        <v>37418</v>
      </c>
      <c r="N53" s="10">
        <f t="shared" si="30"/>
        <v>295578</v>
      </c>
      <c r="O53" s="10">
        <f t="shared" si="31"/>
        <v>4464422</v>
      </c>
      <c r="P53" s="57">
        <v>45100</v>
      </c>
      <c r="Q53" s="40" t="s">
        <v>24</v>
      </c>
      <c r="R53" s="9">
        <v>4464422</v>
      </c>
      <c r="S53" s="10">
        <f t="shared" si="32"/>
        <v>0</v>
      </c>
      <c r="T53" s="6" t="s">
        <v>112</v>
      </c>
    </row>
    <row r="54" spans="1:22">
      <c r="A54" s="143"/>
      <c r="B54" s="11"/>
      <c r="C54" s="11"/>
      <c r="D54" s="12"/>
      <c r="E54" s="13"/>
      <c r="F54" s="12"/>
      <c r="G54" s="14">
        <f>SUM(G46:G53)</f>
        <v>17561000</v>
      </c>
      <c r="H54" s="14">
        <f>SUM(H46:H53)</f>
        <v>3336590</v>
      </c>
      <c r="I54" s="14">
        <f t="shared" ref="I54:R54" si="33">SUM(I46:I53)</f>
        <v>20897590</v>
      </c>
      <c r="J54" s="14">
        <f t="shared" si="33"/>
        <v>377000</v>
      </c>
      <c r="K54" s="14">
        <f t="shared" si="33"/>
        <v>166483.20000000001</v>
      </c>
      <c r="L54" s="14">
        <f t="shared" si="33"/>
        <v>500460</v>
      </c>
      <c r="M54" s="15">
        <f t="shared" si="33"/>
        <v>183350</v>
      </c>
      <c r="N54" s="14">
        <f t="shared" si="33"/>
        <v>1227293.2</v>
      </c>
      <c r="O54" s="14">
        <f t="shared" si="33"/>
        <v>19670296.800000001</v>
      </c>
      <c r="P54" s="14">
        <f t="shared" si="33"/>
        <v>360779</v>
      </c>
      <c r="Q54" s="15">
        <f t="shared" si="33"/>
        <v>0</v>
      </c>
      <c r="R54" s="14">
        <f t="shared" si="33"/>
        <v>19670297</v>
      </c>
      <c r="S54" s="14">
        <f>SUM(S46:S53)</f>
        <v>-0.20000000018626451</v>
      </c>
      <c r="T54" s="15"/>
    </row>
    <row r="55" spans="1:22" ht="16.5" customHeight="1">
      <c r="E55" s="5"/>
      <c r="G55" s="2"/>
      <c r="H55" s="3"/>
      <c r="I55" s="3"/>
      <c r="J55" s="3"/>
      <c r="K55" s="3"/>
      <c r="L55" s="3"/>
      <c r="N55" s="3"/>
      <c r="O55" s="3"/>
      <c r="S55" s="3"/>
    </row>
    <row r="56" spans="1:22" ht="15" customHeight="1">
      <c r="A56" s="143" t="s">
        <v>137</v>
      </c>
      <c r="B56" s="6" t="s">
        <v>138</v>
      </c>
      <c r="C56" s="6" t="s">
        <v>94</v>
      </c>
      <c r="D56" s="7" t="s">
        <v>95</v>
      </c>
      <c r="E56" s="8">
        <v>45082</v>
      </c>
      <c r="F56" s="7" t="s">
        <v>96</v>
      </c>
      <c r="G56" s="9">
        <v>380000</v>
      </c>
      <c r="H56" s="10">
        <f t="shared" ref="H56:H66" si="34">G56*0.19</f>
        <v>72200</v>
      </c>
      <c r="I56" s="10">
        <f t="shared" ref="I56:I66" si="35">G56+H56</f>
        <v>452200</v>
      </c>
      <c r="J56" s="10">
        <f>G56*0.04</f>
        <v>15200</v>
      </c>
      <c r="K56" s="10">
        <f t="shared" ref="K56:K66" si="36">G56*11.04/1000</f>
        <v>4195.2</v>
      </c>
      <c r="L56" s="10">
        <f t="shared" ref="L56:L66" si="37">H56*0.15</f>
        <v>10830</v>
      </c>
      <c r="M56" s="58">
        <v>0</v>
      </c>
      <c r="N56" s="10">
        <f t="shared" ref="N56:N66" si="38">SUM(J56:M56)</f>
        <v>30225.200000000001</v>
      </c>
      <c r="O56" s="10">
        <f t="shared" ref="O56:O66" si="39">+I56-N56</f>
        <v>421974.8</v>
      </c>
      <c r="P56" s="57">
        <v>45112</v>
      </c>
      <c r="Q56" s="40" t="s">
        <v>24</v>
      </c>
      <c r="R56" s="9">
        <v>420566</v>
      </c>
      <c r="S56" s="10">
        <f t="shared" ref="S56:S66" si="40">+O56-R56</f>
        <v>1408.7999999999884</v>
      </c>
      <c r="T56" s="6" t="s">
        <v>25</v>
      </c>
    </row>
    <row r="57" spans="1:22" ht="16.5" customHeight="1">
      <c r="A57" s="143"/>
      <c r="B57" s="6" t="s">
        <v>139</v>
      </c>
      <c r="C57" s="6" t="s">
        <v>21</v>
      </c>
      <c r="D57" s="7" t="s">
        <v>47</v>
      </c>
      <c r="E57" s="8">
        <v>45082</v>
      </c>
      <c r="F57" s="7" t="s">
        <v>140</v>
      </c>
      <c r="G57" s="9">
        <v>3780000</v>
      </c>
      <c r="H57" s="10">
        <f t="shared" si="34"/>
        <v>718200</v>
      </c>
      <c r="I57" s="10">
        <f t="shared" si="35"/>
        <v>4498200</v>
      </c>
      <c r="J57" s="10">
        <f>G57*0.025</f>
        <v>94500</v>
      </c>
      <c r="K57" s="10">
        <f t="shared" si="36"/>
        <v>41731.199999999997</v>
      </c>
      <c r="L57" s="10">
        <f t="shared" si="37"/>
        <v>107730</v>
      </c>
      <c r="M57" s="58">
        <v>0</v>
      </c>
      <c r="N57" s="10">
        <f t="shared" si="38"/>
        <v>243961.2</v>
      </c>
      <c r="O57" s="10">
        <f t="shared" si="39"/>
        <v>4254238.8</v>
      </c>
      <c r="P57" s="57">
        <v>45135</v>
      </c>
      <c r="Q57" s="6" t="s">
        <v>24</v>
      </c>
      <c r="R57" s="9">
        <v>4254239</v>
      </c>
      <c r="S57" s="10">
        <f t="shared" si="40"/>
        <v>-0.20000000018626451</v>
      </c>
      <c r="T57" s="6" t="s">
        <v>25</v>
      </c>
    </row>
    <row r="58" spans="1:22" ht="16.5" customHeight="1">
      <c r="A58" s="143"/>
      <c r="B58" s="6" t="s">
        <v>141</v>
      </c>
      <c r="C58" s="6" t="s">
        <v>21</v>
      </c>
      <c r="D58" s="7" t="s">
        <v>47</v>
      </c>
      <c r="E58" s="8">
        <v>45082</v>
      </c>
      <c r="F58" s="7" t="s">
        <v>66</v>
      </c>
      <c r="G58" s="9">
        <v>600000</v>
      </c>
      <c r="H58" s="10">
        <f t="shared" si="34"/>
        <v>114000</v>
      </c>
      <c r="I58" s="10">
        <f t="shared" si="35"/>
        <v>714000</v>
      </c>
      <c r="J58" s="10">
        <f>G58*0.04</f>
        <v>24000</v>
      </c>
      <c r="K58" s="10">
        <f t="shared" si="36"/>
        <v>6623.9999999999991</v>
      </c>
      <c r="L58" s="10">
        <f t="shared" si="37"/>
        <v>17100</v>
      </c>
      <c r="M58" s="58">
        <v>0</v>
      </c>
      <c r="N58" s="10">
        <f t="shared" si="38"/>
        <v>47724</v>
      </c>
      <c r="O58" s="10">
        <f t="shared" si="39"/>
        <v>666276</v>
      </c>
      <c r="P58" s="57">
        <v>45149</v>
      </c>
      <c r="Q58" s="6" t="s">
        <v>24</v>
      </c>
      <c r="R58" s="9">
        <v>370776</v>
      </c>
      <c r="S58" s="59">
        <f t="shared" si="40"/>
        <v>295500</v>
      </c>
      <c r="T58" s="6" t="s">
        <v>25</v>
      </c>
      <c r="U58" t="s">
        <v>142</v>
      </c>
      <c r="V58" s="80" t="s">
        <v>143</v>
      </c>
    </row>
    <row r="59" spans="1:22">
      <c r="A59" s="143"/>
      <c r="B59" s="6" t="s">
        <v>144</v>
      </c>
      <c r="C59" s="6" t="s">
        <v>145</v>
      </c>
      <c r="D59" s="7" t="s">
        <v>146</v>
      </c>
      <c r="E59" s="8">
        <v>45082</v>
      </c>
      <c r="F59" s="7" t="s">
        <v>147</v>
      </c>
      <c r="G59" s="9">
        <v>2740000</v>
      </c>
      <c r="H59" s="10">
        <f t="shared" si="34"/>
        <v>520600</v>
      </c>
      <c r="I59" s="10">
        <f t="shared" si="35"/>
        <v>3260600</v>
      </c>
      <c r="J59" s="10">
        <f>G59*0.04</f>
        <v>109600</v>
      </c>
      <c r="K59" s="10">
        <f t="shared" si="36"/>
        <v>30249.599999999995</v>
      </c>
      <c r="L59" s="10">
        <f t="shared" si="37"/>
        <v>78090</v>
      </c>
      <c r="M59" s="58">
        <v>21476</v>
      </c>
      <c r="N59" s="10">
        <f t="shared" si="38"/>
        <v>239415.6</v>
      </c>
      <c r="O59" s="10">
        <f t="shared" si="39"/>
        <v>3021184.4</v>
      </c>
      <c r="P59" s="57">
        <v>45112</v>
      </c>
      <c r="Q59" s="6" t="s">
        <v>24</v>
      </c>
      <c r="R59" s="9">
        <v>3021184</v>
      </c>
      <c r="S59" s="10">
        <f t="shared" si="40"/>
        <v>0.39999999990686774</v>
      </c>
      <c r="T59" s="6" t="s">
        <v>25</v>
      </c>
    </row>
    <row r="60" spans="1:22" ht="16.5" customHeight="1">
      <c r="A60" s="143"/>
      <c r="B60" s="6" t="s">
        <v>148</v>
      </c>
      <c r="C60" s="6" t="s">
        <v>21</v>
      </c>
      <c r="D60" s="7" t="s">
        <v>47</v>
      </c>
      <c r="E60" s="8">
        <v>45086</v>
      </c>
      <c r="F60" s="7" t="s">
        <v>149</v>
      </c>
      <c r="G60" s="9">
        <v>2600000</v>
      </c>
      <c r="H60" s="10">
        <f t="shared" si="34"/>
        <v>494000</v>
      </c>
      <c r="I60" s="10">
        <f t="shared" si="35"/>
        <v>3094000</v>
      </c>
      <c r="J60" s="10"/>
      <c r="K60" s="10">
        <f t="shared" si="36"/>
        <v>28703.999999999996</v>
      </c>
      <c r="L60" s="10">
        <f t="shared" si="37"/>
        <v>74100</v>
      </c>
      <c r="M60" s="58">
        <v>0</v>
      </c>
      <c r="N60" s="10">
        <f t="shared" si="38"/>
        <v>102804</v>
      </c>
      <c r="O60" s="10">
        <f t="shared" si="39"/>
        <v>2991196</v>
      </c>
      <c r="P60" s="57">
        <v>45149</v>
      </c>
      <c r="Q60" s="6" t="s">
        <v>24</v>
      </c>
      <c r="R60" s="9">
        <v>2991196</v>
      </c>
      <c r="S60" s="10">
        <f t="shared" si="40"/>
        <v>0</v>
      </c>
      <c r="T60" s="6" t="s">
        <v>25</v>
      </c>
    </row>
    <row r="61" spans="1:22" ht="16.5" customHeight="1">
      <c r="A61" s="143"/>
      <c r="B61" s="6" t="s">
        <v>150</v>
      </c>
      <c r="C61" s="6" t="s">
        <v>21</v>
      </c>
      <c r="D61" s="7" t="s">
        <v>47</v>
      </c>
      <c r="E61" s="8">
        <v>45096</v>
      </c>
      <c r="F61" s="7" t="s">
        <v>151</v>
      </c>
      <c r="G61" s="9">
        <v>1750000</v>
      </c>
      <c r="H61" s="10">
        <f t="shared" si="34"/>
        <v>332500</v>
      </c>
      <c r="I61" s="10">
        <f t="shared" si="35"/>
        <v>2082500</v>
      </c>
      <c r="J61" s="10"/>
      <c r="K61" s="10">
        <f t="shared" si="36"/>
        <v>19320</v>
      </c>
      <c r="L61" s="10">
        <f t="shared" si="37"/>
        <v>49875</v>
      </c>
      <c r="M61" s="58">
        <v>0</v>
      </c>
      <c r="N61" s="10">
        <f t="shared" si="38"/>
        <v>69195</v>
      </c>
      <c r="O61" s="10">
        <f t="shared" si="39"/>
        <v>2013305</v>
      </c>
      <c r="P61" s="57">
        <v>45149</v>
      </c>
      <c r="Q61" s="6" t="s">
        <v>24</v>
      </c>
      <c r="R61" s="9">
        <v>2013305</v>
      </c>
      <c r="S61" s="10">
        <f t="shared" si="40"/>
        <v>0</v>
      </c>
      <c r="T61" s="6" t="s">
        <v>25</v>
      </c>
    </row>
    <row r="62" spans="1:22" ht="16.5" customHeight="1">
      <c r="A62" s="143"/>
      <c r="B62" s="6" t="s">
        <v>152</v>
      </c>
      <c r="C62" s="6" t="s">
        <v>21</v>
      </c>
      <c r="D62" s="7" t="s">
        <v>47</v>
      </c>
      <c r="E62" s="8">
        <v>45096</v>
      </c>
      <c r="F62" s="7" t="s">
        <v>153</v>
      </c>
      <c r="G62" s="9">
        <v>9000000</v>
      </c>
      <c r="H62" s="10">
        <f t="shared" si="34"/>
        <v>1710000</v>
      </c>
      <c r="I62" s="10">
        <f t="shared" si="35"/>
        <v>10710000</v>
      </c>
      <c r="J62" s="10"/>
      <c r="K62" s="10">
        <f t="shared" si="36"/>
        <v>99359.999999999985</v>
      </c>
      <c r="L62" s="10">
        <f t="shared" si="37"/>
        <v>256500</v>
      </c>
      <c r="M62" s="58">
        <v>0</v>
      </c>
      <c r="N62" s="10">
        <f t="shared" si="38"/>
        <v>355860</v>
      </c>
      <c r="O62" s="10">
        <f t="shared" si="39"/>
        <v>10354140</v>
      </c>
      <c r="P62" s="57">
        <v>45149</v>
      </c>
      <c r="Q62" s="6" t="s">
        <v>24</v>
      </c>
      <c r="R62" s="9">
        <v>10354140</v>
      </c>
      <c r="S62" s="10">
        <f t="shared" si="40"/>
        <v>0</v>
      </c>
      <c r="T62" s="6" t="s">
        <v>25</v>
      </c>
    </row>
    <row r="63" spans="1:22" ht="16.5" customHeight="1">
      <c r="A63" s="143"/>
      <c r="B63" s="6" t="s">
        <v>154</v>
      </c>
      <c r="C63" s="6" t="s">
        <v>21</v>
      </c>
      <c r="D63" s="7" t="s">
        <v>47</v>
      </c>
      <c r="E63" s="8">
        <v>45096</v>
      </c>
      <c r="F63" s="7" t="s">
        <v>153</v>
      </c>
      <c r="G63" s="9">
        <v>9000000</v>
      </c>
      <c r="H63" s="10">
        <f t="shared" si="34"/>
        <v>1710000</v>
      </c>
      <c r="I63" s="10">
        <f t="shared" si="35"/>
        <v>10710000</v>
      </c>
      <c r="J63" s="10"/>
      <c r="K63" s="10">
        <f t="shared" si="36"/>
        <v>99359.999999999985</v>
      </c>
      <c r="L63" s="10">
        <f t="shared" si="37"/>
        <v>256500</v>
      </c>
      <c r="M63" s="58">
        <v>0</v>
      </c>
      <c r="N63" s="10">
        <f t="shared" si="38"/>
        <v>355860</v>
      </c>
      <c r="O63" s="10">
        <f t="shared" si="39"/>
        <v>10354140</v>
      </c>
      <c r="P63" s="57">
        <v>45149</v>
      </c>
      <c r="Q63" s="6" t="s">
        <v>24</v>
      </c>
      <c r="R63" s="9">
        <v>10354140</v>
      </c>
      <c r="S63" s="10">
        <f t="shared" si="40"/>
        <v>0</v>
      </c>
      <c r="T63" s="6" t="s">
        <v>25</v>
      </c>
    </row>
    <row r="64" spans="1:22" ht="16.5" customHeight="1">
      <c r="A64" s="143"/>
      <c r="B64" s="6" t="s">
        <v>155</v>
      </c>
      <c r="C64" s="6" t="s">
        <v>21</v>
      </c>
      <c r="D64" s="7" t="s">
        <v>47</v>
      </c>
      <c r="E64" s="8">
        <v>45096</v>
      </c>
      <c r="F64" s="7" t="s">
        <v>153</v>
      </c>
      <c r="G64" s="9">
        <v>9000000</v>
      </c>
      <c r="H64" s="10">
        <f t="shared" si="34"/>
        <v>1710000</v>
      </c>
      <c r="I64" s="10">
        <f t="shared" si="35"/>
        <v>10710000</v>
      </c>
      <c r="J64" s="10"/>
      <c r="K64" s="10">
        <f t="shared" si="36"/>
        <v>99359.999999999985</v>
      </c>
      <c r="L64" s="10">
        <f t="shared" si="37"/>
        <v>256500</v>
      </c>
      <c r="M64" s="58">
        <v>0</v>
      </c>
      <c r="N64" s="10">
        <f t="shared" si="38"/>
        <v>355860</v>
      </c>
      <c r="O64" s="10">
        <f t="shared" si="39"/>
        <v>10354140</v>
      </c>
      <c r="P64" s="57">
        <v>45149</v>
      </c>
      <c r="Q64" s="6" t="s">
        <v>24</v>
      </c>
      <c r="R64" s="9">
        <v>10354140</v>
      </c>
      <c r="S64" s="10">
        <f t="shared" si="40"/>
        <v>0</v>
      </c>
      <c r="T64" s="6" t="s">
        <v>25</v>
      </c>
    </row>
    <row r="65" spans="1:33" ht="16.5" customHeight="1">
      <c r="A65" s="143"/>
      <c r="B65" s="6" t="s">
        <v>156</v>
      </c>
      <c r="C65" s="6" t="s">
        <v>21</v>
      </c>
      <c r="D65" s="7" t="s">
        <v>47</v>
      </c>
      <c r="E65" s="8">
        <v>45097</v>
      </c>
      <c r="F65" s="7" t="s">
        <v>157</v>
      </c>
      <c r="G65" s="9">
        <v>1450000</v>
      </c>
      <c r="H65" s="10">
        <f t="shared" si="34"/>
        <v>275500</v>
      </c>
      <c r="I65" s="10">
        <f t="shared" si="35"/>
        <v>1725500</v>
      </c>
      <c r="J65" s="10">
        <f>G65*0.025</f>
        <v>36250</v>
      </c>
      <c r="K65" s="10">
        <f t="shared" si="36"/>
        <v>16007.999999999998</v>
      </c>
      <c r="L65" s="10">
        <f t="shared" si="37"/>
        <v>41325</v>
      </c>
      <c r="M65" s="58">
        <v>27128</v>
      </c>
      <c r="N65" s="10">
        <f t="shared" si="38"/>
        <v>120711</v>
      </c>
      <c r="O65" s="10">
        <f t="shared" si="39"/>
        <v>1604789</v>
      </c>
      <c r="P65" s="57">
        <v>45121</v>
      </c>
      <c r="Q65" s="6" t="s">
        <v>24</v>
      </c>
      <c r="R65" s="9">
        <v>1604789</v>
      </c>
      <c r="S65" s="10">
        <f t="shared" si="40"/>
        <v>0</v>
      </c>
      <c r="T65" s="6" t="s">
        <v>25</v>
      </c>
    </row>
    <row r="66" spans="1:33" ht="16.5" customHeight="1">
      <c r="A66" s="143"/>
      <c r="B66" s="6" t="s">
        <v>158</v>
      </c>
      <c r="C66" s="6" t="s">
        <v>21</v>
      </c>
      <c r="D66" s="7" t="s">
        <v>47</v>
      </c>
      <c r="E66" s="8">
        <v>45097</v>
      </c>
      <c r="F66" s="7" t="s">
        <v>159</v>
      </c>
      <c r="G66" s="9">
        <v>630000</v>
      </c>
      <c r="H66" s="10">
        <f t="shared" si="34"/>
        <v>119700</v>
      </c>
      <c r="I66" s="10">
        <f t="shared" si="35"/>
        <v>749700</v>
      </c>
      <c r="J66" s="10">
        <f>G66*0.025</f>
        <v>15750</v>
      </c>
      <c r="K66" s="10">
        <f t="shared" si="36"/>
        <v>6955.1999999999989</v>
      </c>
      <c r="L66" s="10">
        <f t="shared" si="37"/>
        <v>17955</v>
      </c>
      <c r="M66" s="58">
        <v>0</v>
      </c>
      <c r="N66" s="10">
        <f t="shared" si="38"/>
        <v>40660.199999999997</v>
      </c>
      <c r="O66" s="10">
        <f t="shared" si="39"/>
        <v>709039.8</v>
      </c>
      <c r="P66" s="57">
        <v>45149</v>
      </c>
      <c r="Q66" s="6" t="s">
        <v>24</v>
      </c>
      <c r="R66" s="9">
        <v>709040</v>
      </c>
      <c r="S66" s="10">
        <f t="shared" si="40"/>
        <v>-0.19999999995343387</v>
      </c>
      <c r="T66" s="6" t="s">
        <v>25</v>
      </c>
    </row>
    <row r="67" spans="1:33">
      <c r="A67" s="143"/>
      <c r="B67" s="11"/>
      <c r="C67" s="11"/>
      <c r="D67" s="12"/>
      <c r="E67" s="13"/>
      <c r="F67" s="12"/>
      <c r="G67" s="14">
        <f>SUM(G56:G66)</f>
        <v>40930000</v>
      </c>
      <c r="H67" s="14">
        <f>SUM(H56:H66)</f>
        <v>7776700</v>
      </c>
      <c r="I67" s="14">
        <f t="shared" ref="I67:R67" si="41">SUM(I56:I66)</f>
        <v>48706700</v>
      </c>
      <c r="J67" s="14">
        <f t="shared" si="41"/>
        <v>295300</v>
      </c>
      <c r="K67" s="14">
        <f t="shared" si="41"/>
        <v>451867.19999999995</v>
      </c>
      <c r="L67" s="14">
        <f t="shared" si="41"/>
        <v>1166505</v>
      </c>
      <c r="M67" s="15">
        <f t="shared" si="41"/>
        <v>48604</v>
      </c>
      <c r="N67" s="14">
        <f t="shared" si="41"/>
        <v>1962276.2</v>
      </c>
      <c r="O67" s="14">
        <f t="shared" si="41"/>
        <v>46744423.799999997</v>
      </c>
      <c r="P67" s="14">
        <f t="shared" si="41"/>
        <v>496523</v>
      </c>
      <c r="Q67" s="15">
        <f t="shared" si="41"/>
        <v>0</v>
      </c>
      <c r="R67" s="14">
        <f t="shared" si="41"/>
        <v>46447515</v>
      </c>
      <c r="S67" s="14">
        <f>SUM(S56:S66)</f>
        <v>296908.79999999976</v>
      </c>
      <c r="T67" s="15"/>
    </row>
    <row r="68" spans="1:33" ht="16.5" customHeight="1">
      <c r="E68" s="5"/>
      <c r="G68" s="2"/>
      <c r="H68" s="3"/>
      <c r="I68" s="3"/>
      <c r="J68" s="3"/>
      <c r="K68" s="3"/>
      <c r="L68" s="3"/>
      <c r="N68" s="3"/>
      <c r="O68" s="3"/>
      <c r="S68" s="3"/>
    </row>
    <row r="69" spans="1:33" ht="16.5" customHeight="1">
      <c r="A69" s="143" t="s">
        <v>160</v>
      </c>
      <c r="B69" s="6" t="s">
        <v>161</v>
      </c>
      <c r="C69" s="6" t="s">
        <v>21</v>
      </c>
      <c r="D69" s="7" t="s">
        <v>47</v>
      </c>
      <c r="E69" s="8">
        <v>45108</v>
      </c>
      <c r="F69" s="7" t="s">
        <v>162</v>
      </c>
      <c r="G69" s="9">
        <v>3770000</v>
      </c>
      <c r="H69" s="10">
        <f>G69*0.19</f>
        <v>716300</v>
      </c>
      <c r="I69" s="10">
        <f>G69+H69</f>
        <v>4486300</v>
      </c>
      <c r="J69" s="10"/>
      <c r="K69" s="10">
        <f>G69*11.04/1000</f>
        <v>41620.800000000003</v>
      </c>
      <c r="L69" s="10">
        <f>H69*0.15</f>
        <v>107445</v>
      </c>
      <c r="M69" s="58">
        <v>0</v>
      </c>
      <c r="N69" s="10">
        <f>SUM(J69:M69)</f>
        <v>149065.79999999999</v>
      </c>
      <c r="O69" s="10">
        <f>+I69-N69</f>
        <v>4337234.2</v>
      </c>
      <c r="P69" s="57">
        <v>45149</v>
      </c>
      <c r="Q69" s="6" t="s">
        <v>24</v>
      </c>
      <c r="R69" s="9">
        <v>4337234</v>
      </c>
      <c r="S69" s="10">
        <f>+O69-R69</f>
        <v>0.20000000018626451</v>
      </c>
      <c r="T69" s="6" t="s">
        <v>25</v>
      </c>
    </row>
    <row r="70" spans="1:33" ht="16.5" customHeight="1">
      <c r="A70" s="143"/>
      <c r="B70" s="6" t="s">
        <v>163</v>
      </c>
      <c r="C70" s="6" t="s">
        <v>21</v>
      </c>
      <c r="D70" s="7" t="s">
        <v>47</v>
      </c>
      <c r="E70" s="8">
        <v>45108</v>
      </c>
      <c r="F70" s="7" t="s">
        <v>164</v>
      </c>
      <c r="G70" s="9">
        <v>3300000</v>
      </c>
      <c r="H70" s="10">
        <f>G70*0.19</f>
        <v>627000</v>
      </c>
      <c r="I70" s="10">
        <f>G70+H70</f>
        <v>3927000</v>
      </c>
      <c r="J70" s="10">
        <f>G70*0.025</f>
        <v>82500</v>
      </c>
      <c r="K70" s="10">
        <f>G70*11.04/1000</f>
        <v>36432</v>
      </c>
      <c r="L70" s="10">
        <f>H70*0.15</f>
        <v>94050</v>
      </c>
      <c r="M70" s="58">
        <v>30870</v>
      </c>
      <c r="N70" s="10">
        <f>SUM(J70:M70)</f>
        <v>243852</v>
      </c>
      <c r="O70" s="10">
        <f>+I70-N70</f>
        <v>3683148</v>
      </c>
      <c r="P70" s="57">
        <v>45142</v>
      </c>
      <c r="Q70" s="6" t="s">
        <v>24</v>
      </c>
      <c r="R70" s="9">
        <v>3683148</v>
      </c>
      <c r="S70" s="10">
        <f>+O70-R70</f>
        <v>0</v>
      </c>
      <c r="T70" s="6" t="s">
        <v>25</v>
      </c>
    </row>
    <row r="71" spans="1:33" ht="16.5" customHeight="1">
      <c r="A71" s="143"/>
      <c r="B71" s="6" t="s">
        <v>165</v>
      </c>
      <c r="C71" s="6" t="s">
        <v>21</v>
      </c>
      <c r="D71" s="7" t="s">
        <v>47</v>
      </c>
      <c r="E71" s="8">
        <v>45108</v>
      </c>
      <c r="F71" s="7" t="s">
        <v>166</v>
      </c>
      <c r="G71" s="9">
        <v>7300000</v>
      </c>
      <c r="H71" s="10">
        <f>G71*0.19</f>
        <v>1387000</v>
      </c>
      <c r="I71" s="10">
        <f>G71+H71</f>
        <v>8687000</v>
      </c>
      <c r="J71" s="10"/>
      <c r="K71" s="10">
        <f>G71*11.04/1000</f>
        <v>80592</v>
      </c>
      <c r="L71" s="10">
        <f>H71*0.15</f>
        <v>208050</v>
      </c>
      <c r="M71" s="58">
        <v>0</v>
      </c>
      <c r="N71" s="10">
        <f>SUM(J71:M71)</f>
        <v>288642</v>
      </c>
      <c r="O71" s="10">
        <f>+I71-N71</f>
        <v>8398358</v>
      </c>
      <c r="P71" s="57">
        <v>45149</v>
      </c>
      <c r="Q71" s="6" t="s">
        <v>24</v>
      </c>
      <c r="R71" s="9">
        <v>8398358</v>
      </c>
      <c r="S71" s="10">
        <f>+O71-R71</f>
        <v>0</v>
      </c>
      <c r="T71" s="6" t="s">
        <v>25</v>
      </c>
    </row>
    <row r="72" spans="1:33">
      <c r="A72" s="143"/>
      <c r="B72" s="6" t="s">
        <v>167</v>
      </c>
      <c r="C72" s="6" t="s">
        <v>168</v>
      </c>
      <c r="D72" s="7" t="s">
        <v>169</v>
      </c>
      <c r="E72" s="8">
        <v>45124</v>
      </c>
      <c r="F72" s="7" t="s">
        <v>170</v>
      </c>
      <c r="G72" s="9">
        <v>240000</v>
      </c>
      <c r="H72" s="10">
        <f>G72*0.19</f>
        <v>45600</v>
      </c>
      <c r="I72" s="10">
        <f>G72+H72</f>
        <v>285600</v>
      </c>
      <c r="J72" s="10"/>
      <c r="K72" s="10"/>
      <c r="L72" s="10"/>
      <c r="M72" s="58">
        <v>0</v>
      </c>
      <c r="N72" s="10">
        <f>SUM(J72:M72)</f>
        <v>0</v>
      </c>
      <c r="O72" s="10">
        <f>+I72-N72</f>
        <v>285600</v>
      </c>
      <c r="P72" s="7"/>
      <c r="Q72" s="6"/>
      <c r="R72" s="9"/>
      <c r="S72" s="10">
        <f>+O72-R72</f>
        <v>285600</v>
      </c>
      <c r="T72" s="6"/>
    </row>
    <row r="73" spans="1:33">
      <c r="A73" s="143"/>
      <c r="B73" s="11"/>
      <c r="C73" s="11"/>
      <c r="D73" s="12"/>
      <c r="E73" s="13"/>
      <c r="F73" s="12"/>
      <c r="G73" s="14">
        <f>SUM(G69:G72)</f>
        <v>14610000</v>
      </c>
      <c r="H73" s="14">
        <f t="shared" ref="H73:R73" si="42">SUM(H69:H72)</f>
        <v>2775900</v>
      </c>
      <c r="I73" s="14">
        <f>SUM(I69:I72)</f>
        <v>17385900</v>
      </c>
      <c r="J73" s="14">
        <f t="shared" si="42"/>
        <v>82500</v>
      </c>
      <c r="K73" s="14">
        <f t="shared" si="42"/>
        <v>158644.79999999999</v>
      </c>
      <c r="L73" s="14">
        <f t="shared" si="42"/>
        <v>409545</v>
      </c>
      <c r="M73" s="15">
        <f t="shared" si="42"/>
        <v>30870</v>
      </c>
      <c r="N73" s="14">
        <f t="shared" si="42"/>
        <v>681559.8</v>
      </c>
      <c r="O73" s="14">
        <f>SUM(O69:O72)</f>
        <v>16704340.199999999</v>
      </c>
      <c r="P73" s="14">
        <f t="shared" si="42"/>
        <v>135440</v>
      </c>
      <c r="Q73" s="15">
        <f t="shared" si="42"/>
        <v>0</v>
      </c>
      <c r="R73" s="14">
        <f t="shared" si="42"/>
        <v>16418740</v>
      </c>
      <c r="S73" s="14">
        <f>SUM(S69:S72)</f>
        <v>285600.20000000019</v>
      </c>
      <c r="T73" s="15"/>
    </row>
    <row r="74" spans="1:33">
      <c r="A74" s="4"/>
      <c r="E74" s="5"/>
      <c r="G74" s="2"/>
      <c r="H74" s="3"/>
      <c r="I74" s="3"/>
      <c r="J74" s="3"/>
      <c r="K74" s="3"/>
      <c r="L74" s="3"/>
      <c r="N74" s="3"/>
      <c r="O74" s="3"/>
      <c r="S74" s="3"/>
    </row>
    <row r="75" spans="1:33" ht="15" customHeight="1">
      <c r="A75" s="143" t="s">
        <v>171</v>
      </c>
      <c r="B75" s="6" t="s">
        <v>172</v>
      </c>
      <c r="C75" s="6" t="s">
        <v>173</v>
      </c>
      <c r="D75" s="7" t="s">
        <v>174</v>
      </c>
      <c r="E75" s="8">
        <v>45144</v>
      </c>
      <c r="F75" s="7" t="s">
        <v>147</v>
      </c>
      <c r="G75" s="9">
        <v>2735005</v>
      </c>
      <c r="H75" s="10">
        <f t="shared" ref="H75:H86" si="43">G75*0.19</f>
        <v>519650.95</v>
      </c>
      <c r="I75" s="10">
        <f t="shared" ref="I75:I86" si="44">G75+H75</f>
        <v>3254655.95</v>
      </c>
      <c r="J75" s="10">
        <f t="shared" ref="J75:J82" si="45">G75*0.025</f>
        <v>68375.125</v>
      </c>
      <c r="K75" s="10">
        <f t="shared" ref="K75:K86" si="46">G75*11.04/1000</f>
        <v>30194.4552</v>
      </c>
      <c r="L75" s="10">
        <f t="shared" ref="L75:L86" si="47">H75*0.15</f>
        <v>77947.642500000002</v>
      </c>
      <c r="M75" s="58">
        <v>51170</v>
      </c>
      <c r="N75" s="10">
        <f t="shared" ref="N75:N86" si="48">SUM(J75:M75)</f>
        <v>227687.22269999998</v>
      </c>
      <c r="O75" s="10">
        <f t="shared" ref="O75:O86" si="49">+I75-N75</f>
        <v>3026968.7273000004</v>
      </c>
      <c r="P75" s="57">
        <v>45184</v>
      </c>
      <c r="Q75" s="6" t="s">
        <v>24</v>
      </c>
      <c r="R75" s="9">
        <v>3026969</v>
      </c>
      <c r="S75" s="10">
        <f t="shared" ref="S75:S86" si="50">+O75-R75</f>
        <v>-0.27269999962300062</v>
      </c>
      <c r="T75" s="6" t="s">
        <v>25</v>
      </c>
      <c r="W75" s="82"/>
    </row>
    <row r="76" spans="1:33" ht="16.5" customHeight="1">
      <c r="A76" s="143"/>
      <c r="B76" s="6" t="s">
        <v>175</v>
      </c>
      <c r="C76" s="6" t="s">
        <v>21</v>
      </c>
      <c r="D76" s="7" t="s">
        <v>47</v>
      </c>
      <c r="E76" s="8">
        <v>45147</v>
      </c>
      <c r="F76" s="7" t="s">
        <v>176</v>
      </c>
      <c r="G76" s="9">
        <v>300000</v>
      </c>
      <c r="H76" s="10">
        <f t="shared" si="43"/>
        <v>57000</v>
      </c>
      <c r="I76" s="10">
        <f t="shared" si="44"/>
        <v>357000</v>
      </c>
      <c r="J76" s="10">
        <f t="shared" si="45"/>
        <v>7500</v>
      </c>
      <c r="K76" s="10">
        <f>G76*11.04/1000</f>
        <v>3311.9999999999995</v>
      </c>
      <c r="L76" s="10">
        <f t="shared" si="47"/>
        <v>8550</v>
      </c>
      <c r="M76" s="58">
        <v>0</v>
      </c>
      <c r="N76" s="10">
        <f t="shared" si="48"/>
        <v>19362</v>
      </c>
      <c r="O76" s="10">
        <f t="shared" si="49"/>
        <v>337638</v>
      </c>
      <c r="P76" s="57">
        <v>45191</v>
      </c>
      <c r="Q76" s="6" t="s">
        <v>24</v>
      </c>
      <c r="R76" s="9">
        <v>337638</v>
      </c>
      <c r="S76" s="10">
        <f t="shared" si="50"/>
        <v>0</v>
      </c>
      <c r="T76" s="81" t="s">
        <v>25</v>
      </c>
      <c r="V76" s="70" t="s">
        <v>177</v>
      </c>
      <c r="W76" s="83" t="s">
        <v>178</v>
      </c>
      <c r="X76" s="70" t="s">
        <v>179</v>
      </c>
      <c r="Y76" s="70" t="s">
        <v>180</v>
      </c>
      <c r="Z76" s="70" t="s">
        <v>181</v>
      </c>
      <c r="AA76" s="70" t="s">
        <v>182</v>
      </c>
      <c r="AB76" s="70" t="s">
        <v>183</v>
      </c>
      <c r="AC76" s="70" t="s">
        <v>184</v>
      </c>
      <c r="AD76" s="83" t="s">
        <v>185</v>
      </c>
      <c r="AE76" s="83" t="s">
        <v>186</v>
      </c>
      <c r="AF76" s="70" t="s">
        <v>187</v>
      </c>
      <c r="AG76" s="70" t="s">
        <v>188</v>
      </c>
    </row>
    <row r="77" spans="1:33" ht="16.5" customHeight="1">
      <c r="A77" s="143"/>
      <c r="B77" s="6" t="s">
        <v>189</v>
      </c>
      <c r="C77" s="6" t="s">
        <v>21</v>
      </c>
      <c r="D77" s="7" t="s">
        <v>47</v>
      </c>
      <c r="E77" s="8">
        <v>45150</v>
      </c>
      <c r="F77" s="7" t="s">
        <v>190</v>
      </c>
      <c r="G77" s="9">
        <v>840000</v>
      </c>
      <c r="H77" s="10">
        <f t="shared" si="43"/>
        <v>159600</v>
      </c>
      <c r="I77" s="10">
        <f t="shared" si="44"/>
        <v>999600</v>
      </c>
      <c r="J77" s="10">
        <f t="shared" si="45"/>
        <v>21000</v>
      </c>
      <c r="K77" s="10">
        <f t="shared" si="46"/>
        <v>9273.6</v>
      </c>
      <c r="L77" s="10">
        <f t="shared" si="47"/>
        <v>23940</v>
      </c>
      <c r="M77" s="58">
        <v>0</v>
      </c>
      <c r="N77" s="10">
        <f t="shared" si="48"/>
        <v>54213.599999999999</v>
      </c>
      <c r="O77" s="10">
        <f t="shared" si="49"/>
        <v>945386.4</v>
      </c>
      <c r="P77" s="57">
        <v>45205</v>
      </c>
      <c r="Q77" s="6" t="s">
        <v>24</v>
      </c>
      <c r="R77" s="9">
        <v>945386</v>
      </c>
      <c r="S77" s="10">
        <f t="shared" si="50"/>
        <v>0.40000000002328306</v>
      </c>
      <c r="T77" s="6" t="s">
        <v>25</v>
      </c>
      <c r="V77" s="77" t="s">
        <v>191</v>
      </c>
      <c r="W77" s="76" t="s">
        <v>192</v>
      </c>
      <c r="X77" s="57">
        <v>45139</v>
      </c>
      <c r="Y77" s="9">
        <v>423050</v>
      </c>
      <c r="Z77" s="9"/>
      <c r="AA77" s="9">
        <f>Y77+Z77</f>
        <v>423050</v>
      </c>
      <c r="AB77" s="9">
        <v>0</v>
      </c>
      <c r="AC77" s="9">
        <v>0</v>
      </c>
      <c r="AD77" s="9">
        <v>0</v>
      </c>
      <c r="AE77" s="9">
        <v>0</v>
      </c>
      <c r="AF77" s="9">
        <f>+AA77-AB77-AC77-AD77-AE77</f>
        <v>423050</v>
      </c>
      <c r="AG77" s="71">
        <v>0</v>
      </c>
    </row>
    <row r="78" spans="1:33" ht="16.5" customHeight="1">
      <c r="A78" s="143"/>
      <c r="B78" s="6" t="s">
        <v>193</v>
      </c>
      <c r="C78" s="6" t="s">
        <v>21</v>
      </c>
      <c r="D78" s="7" t="s">
        <v>47</v>
      </c>
      <c r="E78" s="8">
        <v>45150</v>
      </c>
      <c r="F78" s="7" t="s">
        <v>190</v>
      </c>
      <c r="G78" s="9">
        <v>868000</v>
      </c>
      <c r="H78" s="10">
        <f t="shared" si="43"/>
        <v>164920</v>
      </c>
      <c r="I78" s="10">
        <f t="shared" si="44"/>
        <v>1032920</v>
      </c>
      <c r="J78" s="10">
        <f t="shared" si="45"/>
        <v>21700</v>
      </c>
      <c r="K78" s="10">
        <f t="shared" si="46"/>
        <v>9582.7199999999993</v>
      </c>
      <c r="L78" s="10">
        <f t="shared" si="47"/>
        <v>24738</v>
      </c>
      <c r="M78" s="58">
        <v>0</v>
      </c>
      <c r="N78" s="10">
        <f t="shared" si="48"/>
        <v>56020.72</v>
      </c>
      <c r="O78" s="10">
        <f t="shared" si="49"/>
        <v>976899.28</v>
      </c>
      <c r="P78" s="57">
        <v>45205</v>
      </c>
      <c r="Q78" s="6" t="s">
        <v>24</v>
      </c>
      <c r="R78" s="9">
        <v>976899</v>
      </c>
      <c r="S78" s="10">
        <f t="shared" si="50"/>
        <v>0.28000000002793968</v>
      </c>
      <c r="T78" s="6" t="s">
        <v>25</v>
      </c>
      <c r="V78" s="77" t="s">
        <v>191</v>
      </c>
      <c r="W78" s="77" t="s">
        <v>175</v>
      </c>
      <c r="X78" s="57">
        <v>45147</v>
      </c>
      <c r="Y78" s="9">
        <v>300000</v>
      </c>
      <c r="Z78" s="10">
        <f>Y78*0.19</f>
        <v>57000</v>
      </c>
      <c r="AA78" s="10">
        <f>Y78+Z78</f>
        <v>357000</v>
      </c>
      <c r="AB78" s="9">
        <f>Z78*0.15</f>
        <v>8550</v>
      </c>
      <c r="AC78" s="9">
        <f>Y78*11.04/1000</f>
        <v>3311.9999999999995</v>
      </c>
      <c r="AD78" s="10">
        <f>Y78*0.025</f>
        <v>7500</v>
      </c>
      <c r="AE78" s="9">
        <v>0</v>
      </c>
      <c r="AF78" s="9">
        <f>+AA78-AB78-AC78-AD78</f>
        <v>337638</v>
      </c>
      <c r="AG78" s="71">
        <v>0</v>
      </c>
    </row>
    <row r="79" spans="1:33" ht="16.5" customHeight="1">
      <c r="A79" s="143"/>
      <c r="B79" s="6" t="s">
        <v>194</v>
      </c>
      <c r="C79" s="6" t="s">
        <v>21</v>
      </c>
      <c r="D79" s="7" t="s">
        <v>47</v>
      </c>
      <c r="E79" s="8">
        <v>45150</v>
      </c>
      <c r="F79" s="7" t="s">
        <v>190</v>
      </c>
      <c r="G79" s="9">
        <v>60000</v>
      </c>
      <c r="H79" s="10">
        <f t="shared" si="43"/>
        <v>11400</v>
      </c>
      <c r="I79" s="10">
        <f t="shared" si="44"/>
        <v>71400</v>
      </c>
      <c r="J79" s="10">
        <f t="shared" si="45"/>
        <v>1500</v>
      </c>
      <c r="K79" s="10">
        <f t="shared" si="46"/>
        <v>662.4</v>
      </c>
      <c r="L79" s="10">
        <f t="shared" si="47"/>
        <v>1710</v>
      </c>
      <c r="M79" s="58">
        <v>0</v>
      </c>
      <c r="N79" s="10">
        <f t="shared" si="48"/>
        <v>3872.4</v>
      </c>
      <c r="O79" s="10">
        <f t="shared" si="49"/>
        <v>67527.600000000006</v>
      </c>
      <c r="P79" s="57">
        <v>45205</v>
      </c>
      <c r="Q79" s="6" t="s">
        <v>24</v>
      </c>
      <c r="R79" s="9">
        <v>67528</v>
      </c>
      <c r="S79" s="10">
        <f t="shared" si="50"/>
        <v>-0.39999999999417923</v>
      </c>
      <c r="T79" s="6" t="s">
        <v>25</v>
      </c>
      <c r="V79" s="77" t="s">
        <v>191</v>
      </c>
      <c r="W79" s="77" t="s">
        <v>195</v>
      </c>
      <c r="X79" s="57">
        <v>45156</v>
      </c>
      <c r="Y79" s="9">
        <v>4000000</v>
      </c>
      <c r="Z79" s="10">
        <f>Y79*0.19</f>
        <v>760000</v>
      </c>
      <c r="AA79" s="10">
        <f>Y79+Z79</f>
        <v>4760000</v>
      </c>
      <c r="AB79" s="9">
        <f>Z79*0.15</f>
        <v>114000</v>
      </c>
      <c r="AC79" s="9">
        <v>22080</v>
      </c>
      <c r="AD79" s="10">
        <f>Y79*0.025</f>
        <v>100000</v>
      </c>
      <c r="AE79" s="58">
        <v>37639</v>
      </c>
      <c r="AF79" s="9">
        <f>+AA79-AB79-AC79-AD79-AE79</f>
        <v>4486281</v>
      </c>
      <c r="AG79" s="71">
        <v>0</v>
      </c>
    </row>
    <row r="80" spans="1:33" ht="16.5" customHeight="1">
      <c r="A80" s="143"/>
      <c r="B80" s="6" t="s">
        <v>195</v>
      </c>
      <c r="C80" s="6" t="s">
        <v>21</v>
      </c>
      <c r="D80" s="7" t="s">
        <v>47</v>
      </c>
      <c r="E80" s="8">
        <v>45156</v>
      </c>
      <c r="F80" s="7" t="s">
        <v>82</v>
      </c>
      <c r="G80" s="9">
        <v>4000000</v>
      </c>
      <c r="H80" s="10">
        <f t="shared" si="43"/>
        <v>760000</v>
      </c>
      <c r="I80" s="10">
        <f t="shared" si="44"/>
        <v>4760000</v>
      </c>
      <c r="J80" s="10">
        <f t="shared" si="45"/>
        <v>100000</v>
      </c>
      <c r="K80" s="69">
        <v>22080</v>
      </c>
      <c r="L80" s="10">
        <f t="shared" si="47"/>
        <v>114000</v>
      </c>
      <c r="M80" s="58">
        <v>37639</v>
      </c>
      <c r="N80" s="10">
        <f t="shared" si="48"/>
        <v>273719</v>
      </c>
      <c r="O80" s="10">
        <f t="shared" si="49"/>
        <v>4486281</v>
      </c>
      <c r="P80" s="57">
        <v>45191</v>
      </c>
      <c r="Q80" s="6" t="s">
        <v>24</v>
      </c>
      <c r="R80" s="9">
        <v>4486281</v>
      </c>
      <c r="S80" s="10">
        <f t="shared" si="50"/>
        <v>0</v>
      </c>
      <c r="T80" s="81" t="s">
        <v>25</v>
      </c>
      <c r="U80" s="3"/>
      <c r="V80" s="77" t="s">
        <v>191</v>
      </c>
      <c r="W80" s="77" t="s">
        <v>196</v>
      </c>
      <c r="X80" s="57">
        <v>45156</v>
      </c>
      <c r="Y80" s="9">
        <v>6720000</v>
      </c>
      <c r="Z80" s="10">
        <f>Y80*0.19</f>
        <v>1276800</v>
      </c>
      <c r="AA80" s="10">
        <f>Y80+Z80</f>
        <v>7996800</v>
      </c>
      <c r="AB80" s="9">
        <f>Z80*0.15</f>
        <v>191520</v>
      </c>
      <c r="AC80" s="9">
        <f>Y80*11.04/1000</f>
        <v>74188.800000000003</v>
      </c>
      <c r="AD80" s="10">
        <f>Y80*0.025</f>
        <v>168000</v>
      </c>
      <c r="AE80" s="58">
        <v>125726</v>
      </c>
      <c r="AF80" s="9">
        <f>+AA80-AB80-AC80-AD80-AE80</f>
        <v>7437365.2000000002</v>
      </c>
      <c r="AG80" s="71">
        <v>0</v>
      </c>
    </row>
    <row r="81" spans="1:33" ht="16.5" customHeight="1">
      <c r="A81" s="143"/>
      <c r="B81" s="6" t="s">
        <v>196</v>
      </c>
      <c r="C81" s="6" t="s">
        <v>21</v>
      </c>
      <c r="D81" s="7" t="s">
        <v>47</v>
      </c>
      <c r="E81" s="8">
        <v>45156</v>
      </c>
      <c r="F81" s="7" t="s">
        <v>197</v>
      </c>
      <c r="G81" s="9">
        <v>6720000</v>
      </c>
      <c r="H81" s="10">
        <f t="shared" si="43"/>
        <v>1276800</v>
      </c>
      <c r="I81" s="10">
        <f t="shared" si="44"/>
        <v>7996800</v>
      </c>
      <c r="J81" s="10">
        <f t="shared" si="45"/>
        <v>168000</v>
      </c>
      <c r="K81" s="10">
        <f t="shared" si="46"/>
        <v>74188.800000000003</v>
      </c>
      <c r="L81" s="10">
        <f t="shared" si="47"/>
        <v>191520</v>
      </c>
      <c r="M81" s="58">
        <v>125726</v>
      </c>
      <c r="N81" s="10">
        <f t="shared" si="48"/>
        <v>559434.80000000005</v>
      </c>
      <c r="O81" s="10">
        <f t="shared" si="49"/>
        <v>7437365.2000000002</v>
      </c>
      <c r="P81" s="57">
        <v>45191</v>
      </c>
      <c r="Q81" s="6" t="s">
        <v>24</v>
      </c>
      <c r="R81" s="9">
        <v>7437365</v>
      </c>
      <c r="S81" s="10">
        <f t="shared" si="50"/>
        <v>0.20000000018626451</v>
      </c>
      <c r="T81" s="81" t="s">
        <v>25</v>
      </c>
      <c r="V81" s="72" t="s">
        <v>198</v>
      </c>
      <c r="W81" s="73" t="s">
        <v>199</v>
      </c>
      <c r="X81" s="74">
        <v>45139</v>
      </c>
      <c r="Y81" s="74"/>
      <c r="Z81" s="74"/>
      <c r="AA81" s="75">
        <v>-9488000</v>
      </c>
      <c r="AB81" s="140" t="s">
        <v>200</v>
      </c>
      <c r="AC81" s="140"/>
      <c r="AD81" s="140"/>
      <c r="AE81" s="140"/>
      <c r="AF81" s="140"/>
      <c r="AG81" s="75">
        <f>+AA81</f>
        <v>-9488000</v>
      </c>
    </row>
    <row r="82" spans="1:33" ht="16.5" customHeight="1">
      <c r="A82" s="143"/>
      <c r="B82" s="6" t="s">
        <v>201</v>
      </c>
      <c r="C82" s="6" t="s">
        <v>21</v>
      </c>
      <c r="D82" s="7" t="s">
        <v>47</v>
      </c>
      <c r="E82" s="8">
        <v>45156</v>
      </c>
      <c r="F82" s="7" t="s">
        <v>96</v>
      </c>
      <c r="G82" s="9">
        <v>1140000</v>
      </c>
      <c r="H82" s="10">
        <f t="shared" si="43"/>
        <v>216600</v>
      </c>
      <c r="I82" s="10">
        <f t="shared" si="44"/>
        <v>1356600</v>
      </c>
      <c r="J82" s="10">
        <f t="shared" si="45"/>
        <v>28500</v>
      </c>
      <c r="K82" s="10">
        <f t="shared" si="46"/>
        <v>12585.599999999999</v>
      </c>
      <c r="L82" s="10">
        <f t="shared" si="47"/>
        <v>32490</v>
      </c>
      <c r="M82" s="58">
        <v>0</v>
      </c>
      <c r="N82" s="10">
        <f t="shared" si="48"/>
        <v>73575.600000000006</v>
      </c>
      <c r="O82" s="10">
        <f t="shared" si="49"/>
        <v>1283024.3999999999</v>
      </c>
      <c r="P82" s="57">
        <v>45212</v>
      </c>
      <c r="Q82" s="6" t="s">
        <v>24</v>
      </c>
      <c r="R82" s="9">
        <v>1283024</v>
      </c>
      <c r="S82" s="10">
        <f t="shared" si="50"/>
        <v>0.39999999990686774</v>
      </c>
      <c r="T82" s="6" t="s">
        <v>25</v>
      </c>
      <c r="U82" s="3"/>
      <c r="V82" s="141" t="s">
        <v>202</v>
      </c>
      <c r="W82" s="141"/>
      <c r="X82" s="141"/>
      <c r="Y82" s="132"/>
      <c r="Z82" s="132"/>
      <c r="AA82" s="9">
        <f t="shared" ref="AA82:AF82" si="51">SUM(AA77:AA81)</f>
        <v>4048850</v>
      </c>
      <c r="AB82" s="9">
        <f t="shared" si="51"/>
        <v>314070</v>
      </c>
      <c r="AC82" s="9">
        <f t="shared" si="51"/>
        <v>99580.800000000003</v>
      </c>
      <c r="AD82" s="9">
        <f t="shared" si="51"/>
        <v>275500</v>
      </c>
      <c r="AE82" s="9">
        <f t="shared" si="51"/>
        <v>163365</v>
      </c>
      <c r="AF82" s="78">
        <f t="shared" si="51"/>
        <v>12684334.199999999</v>
      </c>
      <c r="AG82" s="7"/>
    </row>
    <row r="83" spans="1:33" ht="16.5" customHeight="1">
      <c r="A83" s="143"/>
      <c r="B83" s="6" t="s">
        <v>203</v>
      </c>
      <c r="C83" s="6" t="s">
        <v>21</v>
      </c>
      <c r="D83" s="7" t="s">
        <v>47</v>
      </c>
      <c r="E83" s="8">
        <v>45156</v>
      </c>
      <c r="F83" s="7" t="s">
        <v>204</v>
      </c>
      <c r="G83" s="9">
        <v>60000</v>
      </c>
      <c r="H83" s="10">
        <f t="shared" si="43"/>
        <v>11400</v>
      </c>
      <c r="I83" s="10">
        <f t="shared" si="44"/>
        <v>71400</v>
      </c>
      <c r="J83" s="10"/>
      <c r="K83" s="10"/>
      <c r="L83" s="10"/>
      <c r="M83" s="58">
        <v>0</v>
      </c>
      <c r="N83" s="10">
        <f t="shared" si="48"/>
        <v>0</v>
      </c>
      <c r="O83" s="10">
        <f t="shared" si="49"/>
        <v>71400</v>
      </c>
      <c r="P83" s="57">
        <v>45212</v>
      </c>
      <c r="Q83" s="6" t="s">
        <v>135</v>
      </c>
      <c r="R83" s="9">
        <v>71400</v>
      </c>
      <c r="S83" s="10">
        <f t="shared" si="50"/>
        <v>0</v>
      </c>
      <c r="T83" s="6" t="s">
        <v>25</v>
      </c>
      <c r="U83" s="3"/>
      <c r="V83" s="141" t="s">
        <v>205</v>
      </c>
      <c r="W83" s="141"/>
      <c r="X83" s="141"/>
      <c r="Y83" s="141"/>
      <c r="Z83" s="141"/>
      <c r="AA83" s="141"/>
      <c r="AB83" s="141"/>
      <c r="AC83" s="141"/>
      <c r="AD83" s="141"/>
      <c r="AE83" s="141"/>
      <c r="AF83" s="142">
        <f>+AF82+AG81</f>
        <v>3196334.1999999993</v>
      </c>
      <c r="AG83" s="142"/>
    </row>
    <row r="84" spans="1:33" ht="16.5" customHeight="1">
      <c r="A84" s="143"/>
      <c r="B84" s="6" t="s">
        <v>206</v>
      </c>
      <c r="C84" s="6" t="s">
        <v>21</v>
      </c>
      <c r="D84" s="7" t="s">
        <v>47</v>
      </c>
      <c r="E84" s="8">
        <v>45156</v>
      </c>
      <c r="F84" s="7" t="s">
        <v>204</v>
      </c>
      <c r="G84" s="9">
        <v>2800000</v>
      </c>
      <c r="H84" s="10">
        <f t="shared" si="43"/>
        <v>532000</v>
      </c>
      <c r="I84" s="10">
        <f t="shared" si="44"/>
        <v>3332000</v>
      </c>
      <c r="J84" s="10">
        <f>G84*0.025</f>
        <v>70000</v>
      </c>
      <c r="K84" s="10">
        <f t="shared" si="46"/>
        <v>30911.999999999996</v>
      </c>
      <c r="L84" s="10">
        <f t="shared" si="47"/>
        <v>79800</v>
      </c>
      <c r="M84" s="58">
        <v>0</v>
      </c>
      <c r="N84" s="10">
        <f t="shared" si="48"/>
        <v>180712</v>
      </c>
      <c r="O84" s="10">
        <f t="shared" si="49"/>
        <v>3151288</v>
      </c>
      <c r="P84" s="57">
        <v>45212</v>
      </c>
      <c r="Q84" s="6" t="s">
        <v>24</v>
      </c>
      <c r="R84" s="9">
        <v>3151288</v>
      </c>
      <c r="S84" s="10">
        <f t="shared" si="50"/>
        <v>0</v>
      </c>
      <c r="T84" s="6" t="s">
        <v>25</v>
      </c>
    </row>
    <row r="85" spans="1:33" ht="16.5" customHeight="1">
      <c r="A85" s="143"/>
      <c r="B85" s="6" t="s">
        <v>207</v>
      </c>
      <c r="C85" s="6" t="s">
        <v>21</v>
      </c>
      <c r="D85" s="7" t="s">
        <v>47</v>
      </c>
      <c r="E85" s="8">
        <v>45156</v>
      </c>
      <c r="F85" s="7" t="s">
        <v>204</v>
      </c>
      <c r="G85" s="9">
        <v>150000</v>
      </c>
      <c r="H85" s="10">
        <f t="shared" si="43"/>
        <v>28500</v>
      </c>
      <c r="I85" s="10">
        <f t="shared" si="44"/>
        <v>178500</v>
      </c>
      <c r="J85" s="10">
        <f>G85*0.025</f>
        <v>3750</v>
      </c>
      <c r="K85" s="10">
        <f t="shared" si="46"/>
        <v>1655.9999999999998</v>
      </c>
      <c r="L85" s="10">
        <f t="shared" si="47"/>
        <v>4275</v>
      </c>
      <c r="M85" s="58">
        <v>0</v>
      </c>
      <c r="N85" s="10">
        <f t="shared" si="48"/>
        <v>9681</v>
      </c>
      <c r="O85" s="10">
        <f t="shared" si="49"/>
        <v>168819</v>
      </c>
      <c r="P85" s="57">
        <v>45212</v>
      </c>
      <c r="Q85" s="6" t="s">
        <v>24</v>
      </c>
      <c r="R85" s="9">
        <v>168819</v>
      </c>
      <c r="S85" s="10">
        <f t="shared" si="50"/>
        <v>0</v>
      </c>
      <c r="T85" s="6" t="s">
        <v>25</v>
      </c>
    </row>
    <row r="86" spans="1:33" ht="16.5" customHeight="1">
      <c r="A86" s="143"/>
      <c r="B86" s="6" t="s">
        <v>208</v>
      </c>
      <c r="C86" s="6" t="s">
        <v>21</v>
      </c>
      <c r="D86" s="7" t="s">
        <v>47</v>
      </c>
      <c r="E86" s="8">
        <v>45156</v>
      </c>
      <c r="F86" s="7" t="s">
        <v>204</v>
      </c>
      <c r="G86" s="9">
        <v>44000</v>
      </c>
      <c r="H86" s="10">
        <f t="shared" si="43"/>
        <v>8360</v>
      </c>
      <c r="I86" s="10">
        <f t="shared" si="44"/>
        <v>52360</v>
      </c>
      <c r="J86" s="10">
        <f>G86*0.025</f>
        <v>1100</v>
      </c>
      <c r="K86" s="10">
        <f t="shared" si="46"/>
        <v>485.75999999999993</v>
      </c>
      <c r="L86" s="10">
        <f t="shared" si="47"/>
        <v>1254</v>
      </c>
      <c r="M86" s="58">
        <v>0</v>
      </c>
      <c r="N86" s="10">
        <f t="shared" si="48"/>
        <v>2839.76</v>
      </c>
      <c r="O86" s="10">
        <f t="shared" si="49"/>
        <v>49520.24</v>
      </c>
      <c r="P86" s="57">
        <v>45212</v>
      </c>
      <c r="Q86" s="6" t="s">
        <v>24</v>
      </c>
      <c r="R86" s="9">
        <v>49520</v>
      </c>
      <c r="S86" s="10">
        <f t="shared" si="50"/>
        <v>0.23999999999796273</v>
      </c>
      <c r="T86" s="6" t="s">
        <v>25</v>
      </c>
    </row>
    <row r="87" spans="1:33" ht="15" customHeight="1">
      <c r="A87" s="143"/>
      <c r="B87" s="11"/>
      <c r="C87" s="11"/>
      <c r="D87" s="12"/>
      <c r="E87" s="13"/>
      <c r="F87" s="12"/>
      <c r="G87" s="14">
        <f>SUM(G75:G86)</f>
        <v>19717005</v>
      </c>
      <c r="H87" s="14">
        <f t="shared" ref="H87:R87" si="52">SUM(H75:H86)</f>
        <v>3746230.95</v>
      </c>
      <c r="I87" s="14">
        <f t="shared" si="52"/>
        <v>23463235.949999999</v>
      </c>
      <c r="J87" s="14">
        <f t="shared" si="52"/>
        <v>491425.125</v>
      </c>
      <c r="K87" s="14">
        <f t="shared" si="52"/>
        <v>194933.3352</v>
      </c>
      <c r="L87" s="14">
        <f t="shared" si="52"/>
        <v>560224.64250000007</v>
      </c>
      <c r="M87" s="15">
        <f t="shared" si="52"/>
        <v>214535</v>
      </c>
      <c r="N87" s="14">
        <f t="shared" si="52"/>
        <v>1461118.1027000002</v>
      </c>
      <c r="O87" s="14">
        <f t="shared" si="52"/>
        <v>22002117.847299997</v>
      </c>
      <c r="P87" s="14">
        <f t="shared" si="52"/>
        <v>542432</v>
      </c>
      <c r="Q87" s="15">
        <f t="shared" si="52"/>
        <v>0</v>
      </c>
      <c r="R87" s="14">
        <f t="shared" si="52"/>
        <v>22002117</v>
      </c>
      <c r="S87" s="14">
        <f>SUM(S75:S86)</f>
        <v>0.84730000052513788</v>
      </c>
      <c r="T87" s="15"/>
    </row>
    <row r="89" spans="1:33" ht="16.5" customHeight="1">
      <c r="A89" s="143" t="s">
        <v>209</v>
      </c>
      <c r="B89" s="6" t="s">
        <v>210</v>
      </c>
      <c r="C89" s="6" t="s">
        <v>21</v>
      </c>
      <c r="D89" s="7" t="s">
        <v>47</v>
      </c>
      <c r="E89" s="8">
        <v>45175</v>
      </c>
      <c r="F89" s="7" t="s">
        <v>211</v>
      </c>
      <c r="G89" s="9">
        <v>5700000</v>
      </c>
      <c r="H89" s="10">
        <f t="shared" ref="H89:H103" si="53">G89*0.19</f>
        <v>1083000</v>
      </c>
      <c r="I89" s="10">
        <f t="shared" ref="I89:I103" si="54">G89+H89</f>
        <v>6783000</v>
      </c>
      <c r="J89" s="10"/>
      <c r="K89" s="10">
        <f t="shared" ref="K89:K103" si="55">G89*11.04/1000</f>
        <v>62927.999999999993</v>
      </c>
      <c r="L89" s="10">
        <f t="shared" ref="L89:L103" si="56">H89*0.15</f>
        <v>162450</v>
      </c>
      <c r="M89" s="58">
        <v>109492</v>
      </c>
      <c r="N89" s="10">
        <f t="shared" ref="N89:N103" si="57">SUM(J89:M89)</f>
        <v>334870</v>
      </c>
      <c r="O89" s="10">
        <f t="shared" ref="O89:O103" si="58">+I89-N89</f>
        <v>6448130</v>
      </c>
      <c r="P89" s="57">
        <v>45198</v>
      </c>
      <c r="Q89" s="6" t="s">
        <v>24</v>
      </c>
      <c r="R89" s="9">
        <v>6448130</v>
      </c>
      <c r="S89" s="10">
        <f t="shared" ref="S89:S103" si="59">+O89-R89</f>
        <v>0</v>
      </c>
      <c r="T89" s="6" t="s">
        <v>25</v>
      </c>
    </row>
    <row r="90" spans="1:33" ht="16.5" customHeight="1">
      <c r="A90" s="143"/>
      <c r="B90" s="6" t="s">
        <v>212</v>
      </c>
      <c r="C90" s="6" t="s">
        <v>21</v>
      </c>
      <c r="D90" s="7" t="s">
        <v>47</v>
      </c>
      <c r="E90" s="8">
        <v>45175</v>
      </c>
      <c r="F90" s="7" t="s">
        <v>164</v>
      </c>
      <c r="G90" s="9">
        <v>3300000</v>
      </c>
      <c r="H90" s="10">
        <f t="shared" si="53"/>
        <v>627000</v>
      </c>
      <c r="I90" s="10">
        <f t="shared" si="54"/>
        <v>3927000</v>
      </c>
      <c r="J90" s="10">
        <f>G90*0.025</f>
        <v>82500</v>
      </c>
      <c r="K90" s="10">
        <f t="shared" si="55"/>
        <v>36432</v>
      </c>
      <c r="L90" s="10">
        <f t="shared" si="56"/>
        <v>94050</v>
      </c>
      <c r="M90" s="58">
        <v>0</v>
      </c>
      <c r="N90" s="10">
        <f t="shared" si="57"/>
        <v>212982</v>
      </c>
      <c r="O90" s="10">
        <f t="shared" si="58"/>
        <v>3714018</v>
      </c>
      <c r="P90" s="57">
        <v>45212</v>
      </c>
      <c r="Q90" s="6" t="s">
        <v>24</v>
      </c>
      <c r="R90" s="9">
        <v>3714018</v>
      </c>
      <c r="S90" s="10">
        <f t="shared" si="59"/>
        <v>0</v>
      </c>
      <c r="T90" s="6" t="s">
        <v>25</v>
      </c>
    </row>
    <row r="91" spans="1:33" ht="16.5" customHeight="1">
      <c r="A91" s="143"/>
      <c r="B91" s="6" t="s">
        <v>213</v>
      </c>
      <c r="C91" s="6" t="s">
        <v>21</v>
      </c>
      <c r="D91" s="7" t="s">
        <v>47</v>
      </c>
      <c r="E91" s="8">
        <v>45175</v>
      </c>
      <c r="F91" s="7" t="s">
        <v>147</v>
      </c>
      <c r="G91" s="9">
        <v>1750000</v>
      </c>
      <c r="H91" s="10">
        <f t="shared" si="53"/>
        <v>332500</v>
      </c>
      <c r="I91" s="10">
        <f t="shared" si="54"/>
        <v>2082500</v>
      </c>
      <c r="J91" s="10">
        <v>0</v>
      </c>
      <c r="K91" s="10">
        <f t="shared" si="55"/>
        <v>19320</v>
      </c>
      <c r="L91" s="10">
        <f t="shared" si="56"/>
        <v>49875</v>
      </c>
      <c r="M91" s="58">
        <v>0</v>
      </c>
      <c r="N91" s="10">
        <f t="shared" si="57"/>
        <v>69195</v>
      </c>
      <c r="O91" s="10">
        <f t="shared" si="58"/>
        <v>2013305</v>
      </c>
      <c r="P91" s="57">
        <v>45226</v>
      </c>
      <c r="Q91" s="6" t="s">
        <v>24</v>
      </c>
      <c r="R91" s="9">
        <v>2013305</v>
      </c>
      <c r="S91" s="10">
        <f t="shared" si="59"/>
        <v>0</v>
      </c>
      <c r="T91" s="6" t="s">
        <v>25</v>
      </c>
    </row>
    <row r="92" spans="1:33" ht="16.5" customHeight="1">
      <c r="A92" s="143"/>
      <c r="B92" s="6" t="s">
        <v>214</v>
      </c>
      <c r="C92" s="6" t="s">
        <v>21</v>
      </c>
      <c r="D92" s="7" t="s">
        <v>47</v>
      </c>
      <c r="E92" s="8">
        <v>45175</v>
      </c>
      <c r="F92" s="7" t="s">
        <v>215</v>
      </c>
      <c r="G92" s="9">
        <v>530000</v>
      </c>
      <c r="H92" s="10">
        <f t="shared" si="53"/>
        <v>100700</v>
      </c>
      <c r="I92" s="10">
        <f t="shared" si="54"/>
        <v>630700</v>
      </c>
      <c r="J92" s="10">
        <f>G92*0.025</f>
        <v>13250</v>
      </c>
      <c r="K92" s="10">
        <f t="shared" si="55"/>
        <v>5851.2</v>
      </c>
      <c r="L92" s="10">
        <f t="shared" si="56"/>
        <v>15105</v>
      </c>
      <c r="M92" s="58">
        <v>0</v>
      </c>
      <c r="N92" s="10">
        <f t="shared" si="57"/>
        <v>34206.199999999997</v>
      </c>
      <c r="O92" s="10">
        <f t="shared" si="58"/>
        <v>596493.80000000005</v>
      </c>
      <c r="P92" s="57">
        <v>45226</v>
      </c>
      <c r="Q92" s="6" t="s">
        <v>24</v>
      </c>
      <c r="R92" s="9">
        <v>596494</v>
      </c>
      <c r="S92" s="10">
        <f t="shared" si="59"/>
        <v>-0.19999999995343387</v>
      </c>
      <c r="T92" s="6" t="s">
        <v>25</v>
      </c>
    </row>
    <row r="93" spans="1:33" ht="16.5" customHeight="1">
      <c r="A93" s="143"/>
      <c r="B93" s="63" t="s">
        <v>216</v>
      </c>
      <c r="C93" s="63" t="s">
        <v>21</v>
      </c>
      <c r="D93" s="64" t="s">
        <v>47</v>
      </c>
      <c r="E93" s="65">
        <v>45175</v>
      </c>
      <c r="F93" s="64" t="s">
        <v>217</v>
      </c>
      <c r="G93" s="66">
        <v>450000</v>
      </c>
      <c r="H93" s="67">
        <f t="shared" si="53"/>
        <v>85500</v>
      </c>
      <c r="I93" s="67">
        <f t="shared" si="54"/>
        <v>535500</v>
      </c>
      <c r="J93" s="67"/>
      <c r="K93" s="67"/>
      <c r="L93" s="67"/>
      <c r="M93" s="68">
        <v>0</v>
      </c>
      <c r="N93" s="67">
        <f t="shared" si="57"/>
        <v>0</v>
      </c>
      <c r="O93" s="67">
        <f t="shared" si="58"/>
        <v>535500</v>
      </c>
      <c r="P93" s="64"/>
      <c r="Q93" s="63"/>
      <c r="R93" s="66"/>
      <c r="S93" s="67">
        <f t="shared" si="59"/>
        <v>535500</v>
      </c>
      <c r="T93" s="63"/>
    </row>
    <row r="94" spans="1:33" ht="16.5" customHeight="1">
      <c r="A94" s="143"/>
      <c r="B94" s="6" t="s">
        <v>218</v>
      </c>
      <c r="C94" s="6" t="s">
        <v>21</v>
      </c>
      <c r="D94" s="7" t="s">
        <v>47</v>
      </c>
      <c r="E94" s="8">
        <v>45175</v>
      </c>
      <c r="F94" s="7" t="s">
        <v>219</v>
      </c>
      <c r="G94" s="9">
        <v>330000</v>
      </c>
      <c r="H94" s="10">
        <f t="shared" si="53"/>
        <v>62700</v>
      </c>
      <c r="I94" s="10">
        <f t="shared" si="54"/>
        <v>392700</v>
      </c>
      <c r="J94" s="10"/>
      <c r="K94" s="10">
        <f t="shared" si="55"/>
        <v>3643.1999999999994</v>
      </c>
      <c r="L94" s="10">
        <f t="shared" si="56"/>
        <v>9405</v>
      </c>
      <c r="M94" s="58">
        <v>0</v>
      </c>
      <c r="N94" s="10">
        <f t="shared" si="57"/>
        <v>13048.199999999999</v>
      </c>
      <c r="O94" s="10">
        <f t="shared" si="58"/>
        <v>379651.8</v>
      </c>
      <c r="P94" s="57">
        <v>45226</v>
      </c>
      <c r="Q94" s="6" t="s">
        <v>24</v>
      </c>
      <c r="R94" s="9">
        <v>379652</v>
      </c>
      <c r="S94" s="10">
        <f t="shared" si="59"/>
        <v>-0.20000000001164153</v>
      </c>
      <c r="T94" s="6" t="s">
        <v>25</v>
      </c>
    </row>
    <row r="95" spans="1:33" ht="16.5" customHeight="1">
      <c r="A95" s="143"/>
      <c r="B95" s="6" t="s">
        <v>220</v>
      </c>
      <c r="C95" s="6" t="s">
        <v>21</v>
      </c>
      <c r="D95" s="7" t="s">
        <v>47</v>
      </c>
      <c r="E95" s="8">
        <v>45175</v>
      </c>
      <c r="F95" s="7" t="s">
        <v>197</v>
      </c>
      <c r="G95" s="9">
        <v>3180000</v>
      </c>
      <c r="H95" s="10">
        <f t="shared" si="53"/>
        <v>604200</v>
      </c>
      <c r="I95" s="10">
        <f t="shared" si="54"/>
        <v>3784200</v>
      </c>
      <c r="J95" s="10">
        <f t="shared" ref="J95:J100" si="60">G95*0.025</f>
        <v>79500</v>
      </c>
      <c r="K95" s="10">
        <f t="shared" si="55"/>
        <v>35107.199999999997</v>
      </c>
      <c r="L95" s="10">
        <f t="shared" si="56"/>
        <v>90630</v>
      </c>
      <c r="M95" s="58">
        <v>59495</v>
      </c>
      <c r="N95" s="10">
        <f t="shared" si="57"/>
        <v>264732.2</v>
      </c>
      <c r="O95" s="10">
        <f t="shared" si="58"/>
        <v>3519467.8</v>
      </c>
      <c r="P95" s="57">
        <v>45212</v>
      </c>
      <c r="Q95" s="6" t="s">
        <v>24</v>
      </c>
      <c r="R95" s="9">
        <v>3519468</v>
      </c>
      <c r="S95" s="10">
        <f t="shared" si="59"/>
        <v>-0.20000000018626451</v>
      </c>
      <c r="T95" s="6" t="s">
        <v>25</v>
      </c>
    </row>
    <row r="96" spans="1:33" ht="16.5" customHeight="1">
      <c r="A96" s="143"/>
      <c r="B96" s="6" t="s">
        <v>221</v>
      </c>
      <c r="C96" s="6" t="s">
        <v>222</v>
      </c>
      <c r="D96" s="7" t="s">
        <v>47</v>
      </c>
      <c r="E96" s="8">
        <v>45189</v>
      </c>
      <c r="F96" s="7" t="s">
        <v>190</v>
      </c>
      <c r="G96" s="9">
        <v>330000</v>
      </c>
      <c r="H96" s="10">
        <f t="shared" si="53"/>
        <v>62700</v>
      </c>
      <c r="I96" s="10">
        <f t="shared" si="54"/>
        <v>392700</v>
      </c>
      <c r="J96" s="10">
        <f t="shared" si="60"/>
        <v>8250</v>
      </c>
      <c r="K96" s="10">
        <f t="shared" si="55"/>
        <v>3643.1999999999994</v>
      </c>
      <c r="L96" s="10">
        <f t="shared" si="56"/>
        <v>9405</v>
      </c>
      <c r="M96" s="58"/>
      <c r="N96" s="10">
        <f t="shared" si="57"/>
        <v>21298.199999999997</v>
      </c>
      <c r="O96" s="10">
        <f t="shared" si="58"/>
        <v>371401.8</v>
      </c>
      <c r="P96" s="57">
        <v>45240</v>
      </c>
      <c r="Q96" s="6" t="s">
        <v>24</v>
      </c>
      <c r="R96" s="9">
        <v>371402</v>
      </c>
      <c r="S96" s="10">
        <f t="shared" si="59"/>
        <v>-0.20000000001164153</v>
      </c>
      <c r="T96" s="6" t="s">
        <v>25</v>
      </c>
    </row>
    <row r="97" spans="1:20" ht="16.5" customHeight="1">
      <c r="A97" s="143"/>
      <c r="B97" s="6" t="s">
        <v>223</v>
      </c>
      <c r="C97" s="6" t="s">
        <v>224</v>
      </c>
      <c r="D97" s="7" t="s">
        <v>47</v>
      </c>
      <c r="E97" s="8">
        <v>45189</v>
      </c>
      <c r="F97" s="7" t="s">
        <v>162</v>
      </c>
      <c r="G97" s="9">
        <v>3770000</v>
      </c>
      <c r="H97" s="10">
        <f t="shared" si="53"/>
        <v>716300</v>
      </c>
      <c r="I97" s="10">
        <f t="shared" si="54"/>
        <v>4486300</v>
      </c>
      <c r="J97" s="10">
        <f t="shared" si="60"/>
        <v>94250</v>
      </c>
      <c r="K97" s="10">
        <f t="shared" si="55"/>
        <v>41620.800000000003</v>
      </c>
      <c r="L97" s="10">
        <f t="shared" si="56"/>
        <v>107445</v>
      </c>
      <c r="M97" s="58"/>
      <c r="N97" s="10">
        <f t="shared" si="57"/>
        <v>243315.8</v>
      </c>
      <c r="O97" s="10">
        <f t="shared" si="58"/>
        <v>4242984.2</v>
      </c>
      <c r="P97" s="57">
        <v>45240</v>
      </c>
      <c r="Q97" s="6" t="s">
        <v>24</v>
      </c>
      <c r="R97" s="9">
        <v>4242984</v>
      </c>
      <c r="S97" s="10">
        <f t="shared" si="59"/>
        <v>0.20000000018626451</v>
      </c>
      <c r="T97" s="6" t="s">
        <v>25</v>
      </c>
    </row>
    <row r="98" spans="1:20" ht="16.5" customHeight="1">
      <c r="A98" s="143"/>
      <c r="B98" s="6" t="s">
        <v>225</v>
      </c>
      <c r="C98" s="6" t="s">
        <v>31</v>
      </c>
      <c r="D98" s="7" t="s">
        <v>47</v>
      </c>
      <c r="E98" s="8">
        <v>45189</v>
      </c>
      <c r="F98" s="7" t="s">
        <v>197</v>
      </c>
      <c r="G98" s="9">
        <v>600000</v>
      </c>
      <c r="H98" s="10">
        <f t="shared" si="53"/>
        <v>114000</v>
      </c>
      <c r="I98" s="10">
        <f t="shared" si="54"/>
        <v>714000</v>
      </c>
      <c r="J98" s="10">
        <f t="shared" si="60"/>
        <v>15000</v>
      </c>
      <c r="K98" s="10">
        <f t="shared" si="55"/>
        <v>6623.9999999999991</v>
      </c>
      <c r="L98" s="10">
        <f t="shared" si="56"/>
        <v>17100</v>
      </c>
      <c r="M98" s="58"/>
      <c r="N98" s="10">
        <f t="shared" si="57"/>
        <v>38724</v>
      </c>
      <c r="O98" s="10">
        <f t="shared" si="58"/>
        <v>675276</v>
      </c>
      <c r="P98" s="57">
        <v>45240</v>
      </c>
      <c r="Q98" s="6" t="s">
        <v>24</v>
      </c>
      <c r="R98" s="9">
        <v>675276</v>
      </c>
      <c r="S98" s="10">
        <f t="shared" si="59"/>
        <v>0</v>
      </c>
      <c r="T98" s="6" t="s">
        <v>25</v>
      </c>
    </row>
    <row r="99" spans="1:20" ht="16.5" customHeight="1">
      <c r="A99" s="143"/>
      <c r="B99" s="6" t="s">
        <v>226</v>
      </c>
      <c r="C99" s="6" t="s">
        <v>227</v>
      </c>
      <c r="D99" s="7" t="s">
        <v>47</v>
      </c>
      <c r="E99" s="8">
        <v>45189</v>
      </c>
      <c r="F99" s="7" t="s">
        <v>190</v>
      </c>
      <c r="G99" s="9">
        <v>99000</v>
      </c>
      <c r="H99" s="10">
        <f t="shared" si="53"/>
        <v>18810</v>
      </c>
      <c r="I99" s="10">
        <f t="shared" si="54"/>
        <v>117810</v>
      </c>
      <c r="J99" s="10">
        <f t="shared" si="60"/>
        <v>2475</v>
      </c>
      <c r="K99" s="10">
        <f t="shared" si="55"/>
        <v>1092.96</v>
      </c>
      <c r="L99" s="10">
        <f t="shared" si="56"/>
        <v>2821.5</v>
      </c>
      <c r="M99" s="58">
        <v>1852</v>
      </c>
      <c r="N99" s="10">
        <f t="shared" si="57"/>
        <v>8241.4599999999991</v>
      </c>
      <c r="O99" s="10">
        <f t="shared" si="58"/>
        <v>109568.54000000001</v>
      </c>
      <c r="P99" s="57">
        <v>45226</v>
      </c>
      <c r="Q99" s="6" t="s">
        <v>24</v>
      </c>
      <c r="R99" s="9">
        <v>109569</v>
      </c>
      <c r="S99" s="10">
        <f t="shared" si="59"/>
        <v>-0.45999999999185093</v>
      </c>
      <c r="T99" s="6" t="s">
        <v>25</v>
      </c>
    </row>
    <row r="100" spans="1:20" ht="16.5" customHeight="1">
      <c r="A100" s="143"/>
      <c r="B100" s="6" t="s">
        <v>228</v>
      </c>
      <c r="C100" s="6" t="s">
        <v>229</v>
      </c>
      <c r="D100" s="7" t="s">
        <v>47</v>
      </c>
      <c r="E100" s="8">
        <v>45189</v>
      </c>
      <c r="F100" s="7" t="s">
        <v>190</v>
      </c>
      <c r="G100" s="9">
        <v>330000</v>
      </c>
      <c r="H100" s="10">
        <f t="shared" si="53"/>
        <v>62700</v>
      </c>
      <c r="I100" s="10">
        <f t="shared" si="54"/>
        <v>392700</v>
      </c>
      <c r="J100" s="10">
        <f t="shared" si="60"/>
        <v>8250</v>
      </c>
      <c r="K100" s="10">
        <f t="shared" si="55"/>
        <v>3643.1999999999994</v>
      </c>
      <c r="L100" s="10">
        <f t="shared" si="56"/>
        <v>9405</v>
      </c>
      <c r="M100" s="58">
        <v>6174</v>
      </c>
      <c r="N100" s="10">
        <f t="shared" si="57"/>
        <v>27472.199999999997</v>
      </c>
      <c r="O100" s="10">
        <f t="shared" si="58"/>
        <v>365227.8</v>
      </c>
      <c r="P100" s="57">
        <v>45226</v>
      </c>
      <c r="Q100" s="6" t="s">
        <v>24</v>
      </c>
      <c r="R100" s="9">
        <v>365228</v>
      </c>
      <c r="S100" s="10">
        <f t="shared" si="59"/>
        <v>-0.20000000001164153</v>
      </c>
      <c r="T100" s="6" t="s">
        <v>25</v>
      </c>
    </row>
    <row r="101" spans="1:20" ht="16.5" customHeight="1">
      <c r="A101" s="143"/>
      <c r="B101" s="6" t="s">
        <v>230</v>
      </c>
      <c r="C101" s="6" t="s">
        <v>231</v>
      </c>
      <c r="D101" s="7" t="s">
        <v>47</v>
      </c>
      <c r="E101" s="8">
        <v>45189</v>
      </c>
      <c r="F101" s="7" t="s">
        <v>147</v>
      </c>
      <c r="G101" s="9">
        <v>2500000</v>
      </c>
      <c r="H101" s="10">
        <f t="shared" si="53"/>
        <v>475000</v>
      </c>
      <c r="I101" s="10">
        <f t="shared" si="54"/>
        <v>2975000</v>
      </c>
      <c r="J101" s="10">
        <f>G101*0.04</f>
        <v>100000</v>
      </c>
      <c r="K101" s="10">
        <f t="shared" si="55"/>
        <v>27599.999999999996</v>
      </c>
      <c r="L101" s="10">
        <f t="shared" si="56"/>
        <v>71250</v>
      </c>
      <c r="M101" s="58"/>
      <c r="N101" s="10">
        <f t="shared" si="57"/>
        <v>198850</v>
      </c>
      <c r="O101" s="10">
        <f t="shared" si="58"/>
        <v>2776150</v>
      </c>
      <c r="P101" s="57">
        <v>45296</v>
      </c>
      <c r="Q101" s="6" t="s">
        <v>24</v>
      </c>
      <c r="R101" s="9">
        <v>2776150</v>
      </c>
      <c r="S101" s="10">
        <f t="shared" si="59"/>
        <v>0</v>
      </c>
      <c r="T101" s="6" t="s">
        <v>25</v>
      </c>
    </row>
    <row r="102" spans="1:20" ht="16.5" customHeight="1">
      <c r="A102" s="143"/>
      <c r="B102" s="6" t="s">
        <v>232</v>
      </c>
      <c r="C102" s="6" t="s">
        <v>233</v>
      </c>
      <c r="D102" s="7" t="s">
        <v>47</v>
      </c>
      <c r="E102" s="8">
        <v>45189</v>
      </c>
      <c r="F102" s="7" t="s">
        <v>48</v>
      </c>
      <c r="G102" s="9">
        <v>410000</v>
      </c>
      <c r="H102" s="10">
        <f t="shared" si="53"/>
        <v>77900</v>
      </c>
      <c r="I102" s="10">
        <f t="shared" si="54"/>
        <v>487900</v>
      </c>
      <c r="J102" s="10"/>
      <c r="K102" s="10">
        <f t="shared" si="55"/>
        <v>4526.3999999999996</v>
      </c>
      <c r="L102" s="10">
        <f t="shared" si="56"/>
        <v>11685</v>
      </c>
      <c r="M102" s="58">
        <v>7876</v>
      </c>
      <c r="N102" s="10">
        <f t="shared" si="57"/>
        <v>24087.4</v>
      </c>
      <c r="O102" s="10">
        <f t="shared" si="58"/>
        <v>463812.6</v>
      </c>
      <c r="P102" s="57">
        <v>45226</v>
      </c>
      <c r="Q102" s="6" t="s">
        <v>24</v>
      </c>
      <c r="R102" s="9">
        <v>463813</v>
      </c>
      <c r="S102" s="10">
        <f t="shared" si="59"/>
        <v>-0.40000000002328306</v>
      </c>
      <c r="T102" s="6" t="s">
        <v>25</v>
      </c>
    </row>
    <row r="103" spans="1:20" ht="16.5" customHeight="1">
      <c r="A103" s="143"/>
      <c r="B103" s="6" t="s">
        <v>234</v>
      </c>
      <c r="C103" s="6" t="s">
        <v>235</v>
      </c>
      <c r="D103" s="7" t="s">
        <v>47</v>
      </c>
      <c r="E103" s="8">
        <v>45189</v>
      </c>
      <c r="F103" s="7" t="s">
        <v>217</v>
      </c>
      <c r="G103" s="9">
        <v>450000</v>
      </c>
      <c r="H103" s="10">
        <f t="shared" si="53"/>
        <v>85500</v>
      </c>
      <c r="I103" s="10">
        <f t="shared" si="54"/>
        <v>535500</v>
      </c>
      <c r="J103" s="10"/>
      <c r="K103" s="10">
        <f t="shared" si="55"/>
        <v>4968</v>
      </c>
      <c r="L103" s="10">
        <f t="shared" si="56"/>
        <v>12825</v>
      </c>
      <c r="M103" s="58"/>
      <c r="N103" s="10">
        <f t="shared" si="57"/>
        <v>17793</v>
      </c>
      <c r="O103" s="10">
        <f t="shared" si="58"/>
        <v>517707</v>
      </c>
      <c r="P103" s="57">
        <v>45240</v>
      </c>
      <c r="Q103" s="6" t="s">
        <v>24</v>
      </c>
      <c r="R103" s="9">
        <v>517707</v>
      </c>
      <c r="S103" s="10">
        <f t="shared" si="59"/>
        <v>0</v>
      </c>
      <c r="T103" s="6" t="s">
        <v>25</v>
      </c>
    </row>
    <row r="104" spans="1:20">
      <c r="A104" s="143"/>
      <c r="B104" s="11"/>
      <c r="C104" s="11"/>
      <c r="D104" s="12"/>
      <c r="E104" s="13"/>
      <c r="F104" s="12"/>
      <c r="G104" s="14">
        <f>SUM(G89:G103)</f>
        <v>23729000</v>
      </c>
      <c r="H104" s="14">
        <f t="shared" ref="H104:S104" si="61">SUM(H89:H103)</f>
        <v>4508510</v>
      </c>
      <c r="I104" s="14">
        <f t="shared" si="61"/>
        <v>28237510</v>
      </c>
      <c r="J104" s="14">
        <f t="shared" si="61"/>
        <v>403475</v>
      </c>
      <c r="K104" s="14">
        <f t="shared" si="61"/>
        <v>257000.15999999997</v>
      </c>
      <c r="L104" s="14">
        <f t="shared" si="61"/>
        <v>663451.5</v>
      </c>
      <c r="M104" s="14">
        <f t="shared" si="61"/>
        <v>184889</v>
      </c>
      <c r="N104" s="14">
        <f t="shared" si="61"/>
        <v>1508815.6599999997</v>
      </c>
      <c r="O104" s="14">
        <f t="shared" si="61"/>
        <v>26728694.340000004</v>
      </c>
      <c r="P104" s="14">
        <f t="shared" si="61"/>
        <v>633234</v>
      </c>
      <c r="Q104" s="14">
        <f t="shared" si="61"/>
        <v>0</v>
      </c>
      <c r="R104" s="14">
        <f t="shared" si="61"/>
        <v>26193196</v>
      </c>
      <c r="S104" s="14">
        <f t="shared" si="61"/>
        <v>535498.3400000002</v>
      </c>
      <c r="T104" s="14"/>
    </row>
    <row r="106" spans="1:20" ht="16.5" customHeight="1">
      <c r="A106" s="143" t="s">
        <v>236</v>
      </c>
      <c r="B106" s="6" t="s">
        <v>237</v>
      </c>
      <c r="C106" s="6" t="s">
        <v>173</v>
      </c>
      <c r="D106" s="7" t="s">
        <v>238</v>
      </c>
      <c r="E106" s="8">
        <v>45219</v>
      </c>
      <c r="F106" s="7" t="s">
        <v>239</v>
      </c>
      <c r="G106" s="9">
        <v>275000</v>
      </c>
      <c r="H106" s="10">
        <f t="shared" ref="H106:H113" si="62">G106*0.19</f>
        <v>52250</v>
      </c>
      <c r="I106" s="10">
        <f t="shared" ref="I106:I113" si="63">G106+H106</f>
        <v>327250</v>
      </c>
      <c r="J106" s="10">
        <f>G106*0.025</f>
        <v>6875</v>
      </c>
      <c r="K106" s="10">
        <f t="shared" ref="K106:K114" si="64">G106*11.04/1000</f>
        <v>3035.9999999999995</v>
      </c>
      <c r="L106" s="10">
        <f t="shared" ref="L106:L114" si="65">H106*0.15</f>
        <v>7837.5</v>
      </c>
      <c r="M106" s="58">
        <v>5145</v>
      </c>
      <c r="N106" s="10">
        <f t="shared" ref="N106:N114" si="66">SUM(J106:M106)</f>
        <v>22893.5</v>
      </c>
      <c r="O106" s="10">
        <f t="shared" ref="O106:O114" si="67">+I106-N106</f>
        <v>304356.5</v>
      </c>
      <c r="P106" s="57">
        <v>45254</v>
      </c>
      <c r="Q106" s="6" t="s">
        <v>24</v>
      </c>
      <c r="R106" s="9">
        <v>304357</v>
      </c>
      <c r="S106" s="10">
        <f>+O106-R106</f>
        <v>-0.5</v>
      </c>
      <c r="T106" s="6" t="s">
        <v>25</v>
      </c>
    </row>
    <row r="107" spans="1:20" ht="16.5" customHeight="1">
      <c r="A107" s="143"/>
      <c r="B107" s="6" t="s">
        <v>240</v>
      </c>
      <c r="C107" s="6" t="s">
        <v>173</v>
      </c>
      <c r="D107" s="7" t="s">
        <v>238</v>
      </c>
      <c r="E107" s="8">
        <v>45219</v>
      </c>
      <c r="F107" s="7" t="s">
        <v>239</v>
      </c>
      <c r="G107" s="9">
        <v>3300000</v>
      </c>
      <c r="H107" s="10">
        <f t="shared" si="62"/>
        <v>627000</v>
      </c>
      <c r="I107" s="10">
        <f t="shared" si="63"/>
        <v>3927000</v>
      </c>
      <c r="J107" s="10">
        <f>G107*0.025</f>
        <v>82500</v>
      </c>
      <c r="K107" s="10">
        <f t="shared" si="64"/>
        <v>36432</v>
      </c>
      <c r="L107" s="10">
        <f t="shared" si="65"/>
        <v>94050</v>
      </c>
      <c r="M107" s="58">
        <v>61740</v>
      </c>
      <c r="N107" s="10">
        <f t="shared" si="66"/>
        <v>274722</v>
      </c>
      <c r="O107" s="10">
        <f t="shared" si="67"/>
        <v>3652278</v>
      </c>
      <c r="P107" s="57">
        <v>45254</v>
      </c>
      <c r="Q107" s="6" t="s">
        <v>24</v>
      </c>
      <c r="R107" s="9">
        <v>3652278</v>
      </c>
      <c r="S107" s="10">
        <f>+O107-R107</f>
        <v>0</v>
      </c>
      <c r="T107" s="6" t="s">
        <v>25</v>
      </c>
    </row>
    <row r="108" spans="1:20" ht="16.5" customHeight="1">
      <c r="A108" s="143"/>
      <c r="B108" s="6" t="s">
        <v>241</v>
      </c>
      <c r="C108" s="6" t="s">
        <v>21</v>
      </c>
      <c r="D108" s="7" t="s">
        <v>47</v>
      </c>
      <c r="E108" s="8">
        <v>45219</v>
      </c>
      <c r="F108" s="7" t="s">
        <v>242</v>
      </c>
      <c r="G108" s="9">
        <v>530000</v>
      </c>
      <c r="H108" s="10">
        <f t="shared" si="62"/>
        <v>100700</v>
      </c>
      <c r="I108" s="10">
        <f t="shared" si="63"/>
        <v>630700</v>
      </c>
      <c r="J108" s="10">
        <f>G108*0.025</f>
        <v>13250</v>
      </c>
      <c r="K108" s="10">
        <f t="shared" si="64"/>
        <v>5851.2</v>
      </c>
      <c r="L108" s="10">
        <f t="shared" si="65"/>
        <v>15105</v>
      </c>
      <c r="M108" s="58">
        <v>9916</v>
      </c>
      <c r="N108" s="10">
        <f t="shared" si="66"/>
        <v>44122.2</v>
      </c>
      <c r="O108" s="10">
        <f t="shared" si="67"/>
        <v>586577.80000000005</v>
      </c>
      <c r="P108" s="57">
        <v>45254</v>
      </c>
      <c r="Q108" s="6" t="s">
        <v>24</v>
      </c>
      <c r="R108" s="9">
        <v>586578</v>
      </c>
      <c r="S108" s="10">
        <f t="shared" ref="S108:S113" si="68">+O108-R108</f>
        <v>-0.19999999995343387</v>
      </c>
      <c r="T108" s="6" t="s">
        <v>25</v>
      </c>
    </row>
    <row r="109" spans="1:20" ht="16.5" customHeight="1">
      <c r="A109" s="143"/>
      <c r="B109" s="6" t="s">
        <v>243</v>
      </c>
      <c r="C109" s="6" t="s">
        <v>21</v>
      </c>
      <c r="D109" s="7" t="s">
        <v>47</v>
      </c>
      <c r="E109" s="8">
        <v>45219</v>
      </c>
      <c r="F109" s="7" t="s">
        <v>96</v>
      </c>
      <c r="G109" s="9">
        <v>380000</v>
      </c>
      <c r="H109" s="10">
        <f t="shared" si="62"/>
        <v>72200</v>
      </c>
      <c r="I109" s="10">
        <f t="shared" si="63"/>
        <v>452200</v>
      </c>
      <c r="J109" s="10">
        <f>G109*0.025</f>
        <v>9500</v>
      </c>
      <c r="K109" s="10">
        <f t="shared" si="64"/>
        <v>4195.2</v>
      </c>
      <c r="L109" s="10">
        <f t="shared" si="65"/>
        <v>10830</v>
      </c>
      <c r="M109" s="58">
        <v>7109</v>
      </c>
      <c r="N109" s="10">
        <f t="shared" si="66"/>
        <v>31634.2</v>
      </c>
      <c r="O109" s="10">
        <f t="shared" si="67"/>
        <v>420565.8</v>
      </c>
      <c r="P109" s="57">
        <v>45254</v>
      </c>
      <c r="Q109" s="6" t="s">
        <v>24</v>
      </c>
      <c r="R109" s="9">
        <v>420566</v>
      </c>
      <c r="S109" s="10">
        <f t="shared" si="68"/>
        <v>-0.20000000001164153</v>
      </c>
      <c r="T109" s="6" t="s">
        <v>25</v>
      </c>
    </row>
    <row r="110" spans="1:20" ht="16.5" customHeight="1">
      <c r="A110" s="143"/>
      <c r="B110" s="6" t="s">
        <v>244</v>
      </c>
      <c r="C110" s="6" t="s">
        <v>21</v>
      </c>
      <c r="D110" s="7" t="s">
        <v>47</v>
      </c>
      <c r="E110" s="8">
        <v>45219</v>
      </c>
      <c r="F110" s="7" t="s">
        <v>190</v>
      </c>
      <c r="G110" s="9">
        <v>11000</v>
      </c>
      <c r="H110" s="10">
        <f t="shared" si="62"/>
        <v>2090</v>
      </c>
      <c r="I110" s="10">
        <f t="shared" si="63"/>
        <v>13090</v>
      </c>
      <c r="J110" s="10">
        <f>G110*0.025</f>
        <v>275</v>
      </c>
      <c r="K110" s="10">
        <f t="shared" si="64"/>
        <v>121.43999999999998</v>
      </c>
      <c r="L110" s="10">
        <f t="shared" si="65"/>
        <v>313.5</v>
      </c>
      <c r="M110" s="58">
        <v>206</v>
      </c>
      <c r="N110" s="10">
        <f t="shared" si="66"/>
        <v>915.94</v>
      </c>
      <c r="O110" s="10">
        <f t="shared" si="67"/>
        <v>12174.06</v>
      </c>
      <c r="P110" s="57">
        <v>45254</v>
      </c>
      <c r="Q110" s="6" t="s">
        <v>24</v>
      </c>
      <c r="R110" s="9">
        <v>12380</v>
      </c>
      <c r="S110" s="10">
        <f>+O110-R110</f>
        <v>-205.94000000000051</v>
      </c>
      <c r="T110" s="6" t="s">
        <v>25</v>
      </c>
    </row>
    <row r="111" spans="1:20" ht="16.5" customHeight="1">
      <c r="A111" s="143"/>
      <c r="B111" s="6" t="s">
        <v>245</v>
      </c>
      <c r="C111" s="6" t="s">
        <v>21</v>
      </c>
      <c r="D111" s="7" t="s">
        <v>47</v>
      </c>
      <c r="E111" s="8">
        <v>45219</v>
      </c>
      <c r="F111" s="7" t="s">
        <v>151</v>
      </c>
      <c r="G111" s="9">
        <v>810000</v>
      </c>
      <c r="H111" s="10">
        <f t="shared" si="62"/>
        <v>153900</v>
      </c>
      <c r="I111" s="10">
        <f t="shared" si="63"/>
        <v>963900</v>
      </c>
      <c r="J111" s="10"/>
      <c r="K111" s="10">
        <f t="shared" si="64"/>
        <v>8942.4</v>
      </c>
      <c r="L111" s="10">
        <f t="shared" si="65"/>
        <v>23085</v>
      </c>
      <c r="M111" s="58"/>
      <c r="N111" s="10">
        <f t="shared" si="66"/>
        <v>32027.4</v>
      </c>
      <c r="O111" s="10">
        <f t="shared" si="67"/>
        <v>931872.6</v>
      </c>
      <c r="P111" s="57">
        <v>45280</v>
      </c>
      <c r="Q111" s="6" t="s">
        <v>24</v>
      </c>
      <c r="R111" s="9">
        <v>931873</v>
      </c>
      <c r="S111" s="10">
        <f>+O111-R111</f>
        <v>-0.40000000002328306</v>
      </c>
      <c r="T111" s="6" t="s">
        <v>25</v>
      </c>
    </row>
    <row r="112" spans="1:20" ht="16.5" customHeight="1">
      <c r="A112" s="143"/>
      <c r="B112" s="6" t="s">
        <v>246</v>
      </c>
      <c r="C112" s="6" t="s">
        <v>21</v>
      </c>
      <c r="D112" s="7" t="s">
        <v>47</v>
      </c>
      <c r="E112" s="8">
        <v>45219</v>
      </c>
      <c r="F112" s="7" t="s">
        <v>247</v>
      </c>
      <c r="G112" s="9">
        <v>880000</v>
      </c>
      <c r="H112" s="10">
        <f t="shared" si="62"/>
        <v>167200</v>
      </c>
      <c r="I112" s="10">
        <f t="shared" si="63"/>
        <v>1047200</v>
      </c>
      <c r="J112" s="10">
        <f>G112*0.025</f>
        <v>22000</v>
      </c>
      <c r="K112" s="10">
        <f t="shared" si="64"/>
        <v>9715.2000000000007</v>
      </c>
      <c r="L112" s="10">
        <f t="shared" si="65"/>
        <v>25080</v>
      </c>
      <c r="M112" s="58"/>
      <c r="N112" s="10">
        <f t="shared" si="66"/>
        <v>56795.199999999997</v>
      </c>
      <c r="O112" s="10">
        <f t="shared" si="67"/>
        <v>990404.8</v>
      </c>
      <c r="P112" s="57">
        <v>45280</v>
      </c>
      <c r="Q112" s="6" t="s">
        <v>24</v>
      </c>
      <c r="R112" s="9">
        <v>990405</v>
      </c>
      <c r="S112" s="10">
        <f>+O112-R112</f>
        <v>-0.19999999995343387</v>
      </c>
      <c r="T112" s="6" t="s">
        <v>25</v>
      </c>
    </row>
    <row r="113" spans="1:20">
      <c r="A113" s="143"/>
      <c r="B113" s="6" t="s">
        <v>248</v>
      </c>
      <c r="C113" s="6" t="s">
        <v>21</v>
      </c>
      <c r="D113" s="7" t="s">
        <v>47</v>
      </c>
      <c r="E113" s="8">
        <v>45219</v>
      </c>
      <c r="F113" s="7" t="s">
        <v>249</v>
      </c>
      <c r="G113" s="49">
        <v>870000</v>
      </c>
      <c r="H113" s="10">
        <f t="shared" si="62"/>
        <v>165300</v>
      </c>
      <c r="I113" s="10">
        <f t="shared" si="63"/>
        <v>1035300</v>
      </c>
      <c r="J113" s="10"/>
      <c r="K113" s="10">
        <f t="shared" si="64"/>
        <v>9604.7999999999993</v>
      </c>
      <c r="L113" s="10">
        <f t="shared" si="65"/>
        <v>24795</v>
      </c>
      <c r="M113" s="58">
        <v>16712</v>
      </c>
      <c r="N113" s="10">
        <f t="shared" si="66"/>
        <v>51111.8</v>
      </c>
      <c r="O113" s="10">
        <f t="shared" si="67"/>
        <v>984188.2</v>
      </c>
      <c r="P113" s="57">
        <v>45254</v>
      </c>
      <c r="Q113" s="6" t="s">
        <v>24</v>
      </c>
      <c r="R113" s="9">
        <v>984188</v>
      </c>
      <c r="S113" s="10">
        <f t="shared" si="68"/>
        <v>0.19999999995343387</v>
      </c>
      <c r="T113" s="6" t="s">
        <v>25</v>
      </c>
    </row>
    <row r="114" spans="1:20">
      <c r="A114" s="143"/>
      <c r="B114" s="86" t="s">
        <v>250</v>
      </c>
      <c r="C114" s="86" t="s">
        <v>173</v>
      </c>
      <c r="D114" s="7" t="s">
        <v>238</v>
      </c>
      <c r="E114" s="8">
        <v>45219</v>
      </c>
      <c r="F114" s="7" t="s">
        <v>251</v>
      </c>
      <c r="G114" s="9">
        <v>1400000</v>
      </c>
      <c r="H114" s="10">
        <f>G114*0.19</f>
        <v>266000</v>
      </c>
      <c r="I114" s="10">
        <f>G114+H114</f>
        <v>1666000</v>
      </c>
      <c r="J114" s="10">
        <f>G114*0.025</f>
        <v>35000</v>
      </c>
      <c r="K114" s="10">
        <f t="shared" si="64"/>
        <v>15455.999999999998</v>
      </c>
      <c r="L114" s="10">
        <f t="shared" si="65"/>
        <v>39900</v>
      </c>
      <c r="M114" s="58">
        <v>26193</v>
      </c>
      <c r="N114" s="10">
        <f t="shared" si="66"/>
        <v>116549</v>
      </c>
      <c r="O114" s="10">
        <f t="shared" si="67"/>
        <v>1549451</v>
      </c>
      <c r="P114" s="57">
        <v>45254</v>
      </c>
      <c r="Q114" s="6" t="s">
        <v>24</v>
      </c>
      <c r="R114" s="9">
        <v>1549451</v>
      </c>
      <c r="S114" s="10">
        <f>+O114-R114</f>
        <v>0</v>
      </c>
      <c r="T114" s="6" t="s">
        <v>25</v>
      </c>
    </row>
    <row r="115" spans="1:20">
      <c r="A115" s="143"/>
      <c r="B115" s="11"/>
      <c r="C115" s="11"/>
      <c r="D115" s="12"/>
      <c r="E115" s="11"/>
      <c r="F115" s="12"/>
      <c r="G115" s="87">
        <f>SUM(G106:G114)</f>
        <v>8456000</v>
      </c>
      <c r="H115" s="87">
        <f t="shared" ref="H115:R115" si="69">SUM(H106:H114)</f>
        <v>1606640</v>
      </c>
      <c r="I115" s="87">
        <f t="shared" si="69"/>
        <v>10062640</v>
      </c>
      <c r="J115" s="87">
        <f t="shared" si="69"/>
        <v>169400</v>
      </c>
      <c r="K115" s="87">
        <f t="shared" si="69"/>
        <v>93354.240000000005</v>
      </c>
      <c r="L115" s="87">
        <f t="shared" si="69"/>
        <v>240996</v>
      </c>
      <c r="M115" s="87">
        <f t="shared" si="69"/>
        <v>127021</v>
      </c>
      <c r="N115" s="87">
        <f t="shared" si="69"/>
        <v>630771.24</v>
      </c>
      <c r="O115" s="87">
        <f>SUM(O106:O114)</f>
        <v>9431868.7599999979</v>
      </c>
      <c r="P115" s="87">
        <f t="shared" si="69"/>
        <v>407338</v>
      </c>
      <c r="Q115" s="87">
        <f t="shared" si="69"/>
        <v>0</v>
      </c>
      <c r="R115" s="87">
        <f t="shared" si="69"/>
        <v>9432076</v>
      </c>
      <c r="S115" s="87">
        <f>SUM(S106:S114)</f>
        <v>-207.23999999998887</v>
      </c>
      <c r="T115" s="11"/>
    </row>
    <row r="117" spans="1:20" ht="15" customHeight="1">
      <c r="A117" s="144" t="s">
        <v>252</v>
      </c>
      <c r="B117" s="6" t="s">
        <v>253</v>
      </c>
      <c r="C117" s="6" t="s">
        <v>21</v>
      </c>
      <c r="D117" s="7" t="s">
        <v>47</v>
      </c>
      <c r="E117" s="8">
        <v>45240</v>
      </c>
      <c r="F117" s="7" t="s">
        <v>254</v>
      </c>
      <c r="G117" s="49">
        <v>210000</v>
      </c>
      <c r="H117" s="10">
        <f>G117*0.19</f>
        <v>39900</v>
      </c>
      <c r="I117" s="10">
        <f>G117+H117</f>
        <v>249900</v>
      </c>
      <c r="J117" s="10">
        <f>G117*0.025</f>
        <v>5250</v>
      </c>
      <c r="K117" s="10"/>
      <c r="L117" s="10">
        <f>H117*0.15</f>
        <v>5985</v>
      </c>
      <c r="M117" s="58">
        <v>3975</v>
      </c>
      <c r="N117" s="10">
        <f t="shared" ref="N117:N130" si="70">SUM(J117:M117)</f>
        <v>15210</v>
      </c>
      <c r="O117" s="10">
        <f>+I117-N117</f>
        <v>234690</v>
      </c>
      <c r="P117" s="57">
        <v>45280</v>
      </c>
      <c r="Q117" s="6" t="s">
        <v>24</v>
      </c>
      <c r="R117" s="9">
        <v>234690</v>
      </c>
      <c r="S117" s="10">
        <f t="shared" ref="S117:S130" si="71">+O117-R117</f>
        <v>0</v>
      </c>
      <c r="T117" s="6" t="s">
        <v>25</v>
      </c>
    </row>
    <row r="118" spans="1:20">
      <c r="A118" s="145"/>
      <c r="B118" s="6" t="s">
        <v>255</v>
      </c>
      <c r="C118" s="6" t="s">
        <v>21</v>
      </c>
      <c r="D118" s="7" t="s">
        <v>47</v>
      </c>
      <c r="E118" s="8">
        <v>45240</v>
      </c>
      <c r="F118" s="7" t="s">
        <v>256</v>
      </c>
      <c r="G118" s="49">
        <v>1760000</v>
      </c>
      <c r="H118" s="10">
        <f>G118*0.19</f>
        <v>334400</v>
      </c>
      <c r="I118" s="10">
        <f>G118+H118</f>
        <v>2094400</v>
      </c>
      <c r="J118" s="10">
        <f>G118*0.025</f>
        <v>44000</v>
      </c>
      <c r="K118" s="10">
        <f>G118*11.04/1000</f>
        <v>19430.400000000001</v>
      </c>
      <c r="L118" s="10">
        <f>H118*0.15</f>
        <v>50160</v>
      </c>
      <c r="M118" s="58">
        <v>16464</v>
      </c>
      <c r="N118" s="10">
        <f t="shared" si="70"/>
        <v>130054.39999999999</v>
      </c>
      <c r="O118" s="10">
        <f t="shared" ref="O118:O130" si="72">+I118-N118</f>
        <v>1964345.6</v>
      </c>
      <c r="P118" s="57">
        <v>45280</v>
      </c>
      <c r="Q118" s="6" t="s">
        <v>24</v>
      </c>
      <c r="R118" s="9">
        <v>1964346</v>
      </c>
      <c r="S118" s="10">
        <f t="shared" si="71"/>
        <v>-0.39999999990686774</v>
      </c>
      <c r="T118" s="6" t="s">
        <v>25</v>
      </c>
    </row>
    <row r="119" spans="1:20">
      <c r="A119" s="145"/>
      <c r="B119" s="6" t="s">
        <v>257</v>
      </c>
      <c r="C119" s="6" t="s">
        <v>21</v>
      </c>
      <c r="D119" s="7" t="s">
        <v>47</v>
      </c>
      <c r="E119" s="8">
        <v>45240</v>
      </c>
      <c r="F119" s="7" t="s">
        <v>82</v>
      </c>
      <c r="G119" s="49">
        <v>2000000</v>
      </c>
      <c r="H119" s="10">
        <f>G119*0.19</f>
        <v>380000</v>
      </c>
      <c r="I119" s="10">
        <f>G119+H119</f>
        <v>2380000</v>
      </c>
      <c r="J119" s="10">
        <f>G119*0.025</f>
        <v>50000</v>
      </c>
      <c r="K119" s="10"/>
      <c r="L119" s="10">
        <f>H119*0.15</f>
        <v>57000</v>
      </c>
      <c r="M119" s="58">
        <v>18930</v>
      </c>
      <c r="N119" s="10">
        <f t="shared" si="70"/>
        <v>125930</v>
      </c>
      <c r="O119" s="10">
        <f t="shared" si="72"/>
        <v>2254070</v>
      </c>
      <c r="P119" s="57">
        <v>45280</v>
      </c>
      <c r="Q119" s="6" t="s">
        <v>24</v>
      </c>
      <c r="R119" s="9">
        <v>2254070</v>
      </c>
      <c r="S119" s="10">
        <f t="shared" si="71"/>
        <v>0</v>
      </c>
      <c r="T119" s="6" t="s">
        <v>25</v>
      </c>
    </row>
    <row r="120" spans="1:20">
      <c r="A120" s="145"/>
      <c r="B120" s="6" t="s">
        <v>258</v>
      </c>
      <c r="C120" s="6" t="s">
        <v>21</v>
      </c>
      <c r="D120" s="7" t="s">
        <v>47</v>
      </c>
      <c r="E120" s="8">
        <v>45240</v>
      </c>
      <c r="F120" s="7" t="s">
        <v>259</v>
      </c>
      <c r="G120" s="49">
        <v>1200000</v>
      </c>
      <c r="H120" s="10">
        <f>G120*0.19</f>
        <v>228000</v>
      </c>
      <c r="I120" s="10">
        <f>G120+H120</f>
        <v>1428000</v>
      </c>
      <c r="J120" s="10">
        <f>G120*0.025</f>
        <v>30000</v>
      </c>
      <c r="K120" s="10">
        <f>G120*11.04/1000</f>
        <v>13247.999999999998</v>
      </c>
      <c r="L120" s="10">
        <f>H120*0.15</f>
        <v>34200</v>
      </c>
      <c r="M120" s="58">
        <v>22451</v>
      </c>
      <c r="N120" s="10">
        <f t="shared" si="70"/>
        <v>99899</v>
      </c>
      <c r="O120" s="10">
        <f t="shared" si="72"/>
        <v>1328101</v>
      </c>
      <c r="P120" s="57">
        <v>45280</v>
      </c>
      <c r="Q120" s="6" t="s">
        <v>24</v>
      </c>
      <c r="R120" s="9">
        <v>1328101</v>
      </c>
      <c r="S120" s="10">
        <f t="shared" si="71"/>
        <v>0</v>
      </c>
      <c r="T120" s="6" t="s">
        <v>25</v>
      </c>
    </row>
    <row r="121" spans="1:20">
      <c r="A121" s="145"/>
      <c r="B121" s="6" t="s">
        <v>260</v>
      </c>
      <c r="C121" s="6" t="s">
        <v>21</v>
      </c>
      <c r="D121" s="7" t="s">
        <v>47</v>
      </c>
      <c r="E121" s="8">
        <v>45240</v>
      </c>
      <c r="F121" s="7" t="s">
        <v>261</v>
      </c>
      <c r="G121" s="49">
        <v>1680000</v>
      </c>
      <c r="H121" s="10">
        <f>G121*0.19</f>
        <v>319200</v>
      </c>
      <c r="I121" s="10">
        <f>G121+H121</f>
        <v>1999200</v>
      </c>
      <c r="J121" s="10">
        <f>G121*0.025</f>
        <v>42000</v>
      </c>
      <c r="K121" s="10">
        <f>G121*11.04/1000</f>
        <v>18547.2</v>
      </c>
      <c r="L121" s="10">
        <f>H121*0.15</f>
        <v>47880</v>
      </c>
      <c r="M121" s="58">
        <v>0</v>
      </c>
      <c r="N121" s="10">
        <f t="shared" si="70"/>
        <v>108427.2</v>
      </c>
      <c r="O121" s="10">
        <f t="shared" si="72"/>
        <v>1890772.8</v>
      </c>
      <c r="P121" s="57">
        <v>45296</v>
      </c>
      <c r="Q121" s="6" t="s">
        <v>24</v>
      </c>
      <c r="R121" s="9">
        <v>1890773</v>
      </c>
      <c r="S121" s="10">
        <f t="shared" si="71"/>
        <v>-0.19999999995343387</v>
      </c>
      <c r="T121" s="6" t="s">
        <v>25</v>
      </c>
    </row>
    <row r="122" spans="1:20">
      <c r="A122" s="145"/>
      <c r="B122" s="6" t="s">
        <v>262</v>
      </c>
      <c r="C122" s="6" t="s">
        <v>21</v>
      </c>
      <c r="D122" s="7" t="s">
        <v>47</v>
      </c>
      <c r="E122" s="8">
        <v>45248</v>
      </c>
      <c r="F122" s="7" t="s">
        <v>82</v>
      </c>
      <c r="G122" s="49">
        <v>4000000</v>
      </c>
      <c r="H122" s="10">
        <f t="shared" ref="H122:H128" si="73">G122*0.19</f>
        <v>760000</v>
      </c>
      <c r="I122" s="10">
        <f t="shared" ref="I122:I128" si="74">G122+H122</f>
        <v>4760000</v>
      </c>
      <c r="J122" s="7"/>
      <c r="K122" s="7"/>
      <c r="L122" s="7"/>
      <c r="M122" s="58">
        <v>0</v>
      </c>
      <c r="N122" s="10">
        <f t="shared" si="70"/>
        <v>0</v>
      </c>
      <c r="O122" s="10">
        <f t="shared" si="72"/>
        <v>4760000</v>
      </c>
      <c r="P122" s="7"/>
      <c r="Q122" s="6"/>
      <c r="R122" s="9"/>
      <c r="S122" s="10">
        <f t="shared" si="71"/>
        <v>4760000</v>
      </c>
      <c r="T122" s="6"/>
    </row>
    <row r="123" spans="1:20">
      <c r="A123" s="145"/>
      <c r="B123" s="6" t="s">
        <v>263</v>
      </c>
      <c r="C123" s="6" t="s">
        <v>94</v>
      </c>
      <c r="D123" s="7" t="s">
        <v>95</v>
      </c>
      <c r="E123" s="8">
        <v>45248</v>
      </c>
      <c r="F123" s="7" t="s">
        <v>82</v>
      </c>
      <c r="G123" s="49">
        <v>2000000</v>
      </c>
      <c r="H123" s="10">
        <f t="shared" si="73"/>
        <v>380000</v>
      </c>
      <c r="I123" s="10">
        <f t="shared" si="74"/>
        <v>2380000</v>
      </c>
      <c r="J123" s="10">
        <f>G123*0.025</f>
        <v>50000</v>
      </c>
      <c r="K123" s="10">
        <f>G123*11.04/1000</f>
        <v>22080</v>
      </c>
      <c r="L123" s="10">
        <f>H123*0.15</f>
        <v>57000</v>
      </c>
      <c r="M123" s="58">
        <v>18709</v>
      </c>
      <c r="N123" s="10">
        <f t="shared" si="70"/>
        <v>147789</v>
      </c>
      <c r="O123" s="10">
        <f t="shared" si="72"/>
        <v>2232211</v>
      </c>
      <c r="P123" s="57">
        <v>45280</v>
      </c>
      <c r="Q123" s="6" t="s">
        <v>24</v>
      </c>
      <c r="R123" s="9">
        <v>2232211</v>
      </c>
      <c r="S123" s="10">
        <f t="shared" si="71"/>
        <v>0</v>
      </c>
      <c r="T123" s="6" t="s">
        <v>25</v>
      </c>
    </row>
    <row r="124" spans="1:20">
      <c r="A124" s="145"/>
      <c r="B124" s="6" t="s">
        <v>264</v>
      </c>
      <c r="C124" s="6" t="s">
        <v>21</v>
      </c>
      <c r="D124" s="7" t="s">
        <v>47</v>
      </c>
      <c r="E124" s="8">
        <v>45248</v>
      </c>
      <c r="F124" s="7" t="s">
        <v>82</v>
      </c>
      <c r="G124" s="49">
        <v>4000000</v>
      </c>
      <c r="H124" s="10">
        <f t="shared" si="73"/>
        <v>760000</v>
      </c>
      <c r="I124" s="10">
        <f t="shared" si="74"/>
        <v>4760000</v>
      </c>
      <c r="J124" s="10">
        <f>G124*0.025</f>
        <v>100000</v>
      </c>
      <c r="K124" s="10">
        <f>G124*11.04/1000</f>
        <v>44160</v>
      </c>
      <c r="L124" s="10">
        <f>H124*0.15</f>
        <v>114000</v>
      </c>
      <c r="M124" s="58">
        <v>37418</v>
      </c>
      <c r="N124" s="10">
        <f t="shared" si="70"/>
        <v>295578</v>
      </c>
      <c r="O124" s="10">
        <f t="shared" si="72"/>
        <v>4464422</v>
      </c>
      <c r="P124" s="57">
        <v>45287</v>
      </c>
      <c r="Q124" s="6" t="s">
        <v>24</v>
      </c>
      <c r="R124" s="9">
        <v>4464422</v>
      </c>
      <c r="S124" s="10">
        <f t="shared" si="71"/>
        <v>0</v>
      </c>
      <c r="T124" s="6" t="s">
        <v>25</v>
      </c>
    </row>
    <row r="125" spans="1:20">
      <c r="A125" s="145"/>
      <c r="B125" s="6" t="s">
        <v>265</v>
      </c>
      <c r="C125" s="6" t="s">
        <v>21</v>
      </c>
      <c r="D125" s="7" t="s">
        <v>47</v>
      </c>
      <c r="E125" s="8">
        <v>45248</v>
      </c>
      <c r="F125" s="7" t="s">
        <v>82</v>
      </c>
      <c r="G125" s="49">
        <v>2000000</v>
      </c>
      <c r="H125" s="10">
        <f t="shared" si="73"/>
        <v>380000</v>
      </c>
      <c r="I125" s="10">
        <f t="shared" si="74"/>
        <v>2380000</v>
      </c>
      <c r="J125" s="7"/>
      <c r="K125" s="7"/>
      <c r="L125" s="7"/>
      <c r="M125" s="58">
        <v>0</v>
      </c>
      <c r="N125" s="10">
        <f t="shared" si="70"/>
        <v>0</v>
      </c>
      <c r="O125" s="10">
        <f t="shared" si="72"/>
        <v>2380000</v>
      </c>
      <c r="P125" s="7"/>
      <c r="Q125" s="6"/>
      <c r="R125" s="9"/>
      <c r="S125" s="10">
        <f t="shared" si="71"/>
        <v>2380000</v>
      </c>
      <c r="T125" s="6"/>
    </row>
    <row r="126" spans="1:20">
      <c r="A126" s="145"/>
      <c r="B126" s="6" t="s">
        <v>266</v>
      </c>
      <c r="C126" s="6" t="s">
        <v>21</v>
      </c>
      <c r="D126" s="7" t="s">
        <v>47</v>
      </c>
      <c r="E126" s="8">
        <v>45248</v>
      </c>
      <c r="F126" s="7" t="s">
        <v>267</v>
      </c>
      <c r="G126" s="49">
        <v>3400000</v>
      </c>
      <c r="H126" s="10">
        <f t="shared" si="73"/>
        <v>646000</v>
      </c>
      <c r="I126" s="10">
        <f t="shared" si="74"/>
        <v>4046000</v>
      </c>
      <c r="J126" s="10">
        <f>G126*0.04</f>
        <v>136000</v>
      </c>
      <c r="K126" s="10">
        <f>G126*11.04/1000</f>
        <v>37536</v>
      </c>
      <c r="L126" s="10">
        <f>H126*0.15</f>
        <v>96900</v>
      </c>
      <c r="M126" s="58">
        <v>62591</v>
      </c>
      <c r="N126" s="10">
        <f t="shared" si="70"/>
        <v>333027</v>
      </c>
      <c r="O126" s="10">
        <f t="shared" si="72"/>
        <v>3712973</v>
      </c>
      <c r="P126" s="57">
        <v>45287</v>
      </c>
      <c r="Q126" s="6" t="s">
        <v>24</v>
      </c>
      <c r="R126" s="9">
        <v>3712973</v>
      </c>
      <c r="S126" s="10">
        <f t="shared" si="71"/>
        <v>0</v>
      </c>
      <c r="T126" s="6" t="s">
        <v>25</v>
      </c>
    </row>
    <row r="127" spans="1:20">
      <c r="A127" s="145"/>
      <c r="B127" s="6" t="s">
        <v>268</v>
      </c>
      <c r="C127" s="6" t="s">
        <v>21</v>
      </c>
      <c r="D127" s="7" t="s">
        <v>47</v>
      </c>
      <c r="E127" s="8">
        <v>45248</v>
      </c>
      <c r="F127" s="7" t="s">
        <v>269</v>
      </c>
      <c r="G127" s="49">
        <v>1200000</v>
      </c>
      <c r="H127" s="10">
        <f t="shared" si="73"/>
        <v>228000</v>
      </c>
      <c r="I127" s="10">
        <f t="shared" si="74"/>
        <v>1428000</v>
      </c>
      <c r="J127" s="10">
        <f>G127*0.025</f>
        <v>30000</v>
      </c>
      <c r="K127" s="10">
        <f>G127*11.04/1000</f>
        <v>13247.999999999998</v>
      </c>
      <c r="L127" s="10">
        <f>H127*0.15</f>
        <v>34200</v>
      </c>
      <c r="M127" s="58">
        <v>22451</v>
      </c>
      <c r="N127" s="10">
        <f t="shared" si="70"/>
        <v>99899</v>
      </c>
      <c r="O127" s="10">
        <f t="shared" si="72"/>
        <v>1328101</v>
      </c>
      <c r="P127" s="57">
        <v>45287</v>
      </c>
      <c r="Q127" s="6" t="s">
        <v>24</v>
      </c>
      <c r="R127" s="9">
        <v>1328101</v>
      </c>
      <c r="S127" s="10">
        <f t="shared" si="71"/>
        <v>0</v>
      </c>
      <c r="T127" s="6" t="s">
        <v>25</v>
      </c>
    </row>
    <row r="128" spans="1:20">
      <c r="A128" s="145"/>
      <c r="B128" s="6" t="s">
        <v>270</v>
      </c>
      <c r="C128" s="6" t="s">
        <v>21</v>
      </c>
      <c r="D128" s="7" t="s">
        <v>47</v>
      </c>
      <c r="E128" s="8">
        <v>45248</v>
      </c>
      <c r="F128" s="7" t="s">
        <v>269</v>
      </c>
      <c r="G128" s="49">
        <v>600000</v>
      </c>
      <c r="H128" s="10">
        <f t="shared" si="73"/>
        <v>114000</v>
      </c>
      <c r="I128" s="10">
        <f t="shared" si="74"/>
        <v>714000</v>
      </c>
      <c r="J128" s="10">
        <f>G128*0.025</f>
        <v>15000</v>
      </c>
      <c r="K128" s="10">
        <f>G128*11.04/1000</f>
        <v>6623.9999999999991</v>
      </c>
      <c r="L128" s="10">
        <f>H128*0.15</f>
        <v>17100</v>
      </c>
      <c r="M128" s="58">
        <v>11226</v>
      </c>
      <c r="N128" s="10">
        <f t="shared" si="70"/>
        <v>49950</v>
      </c>
      <c r="O128" s="10">
        <f t="shared" si="72"/>
        <v>664050</v>
      </c>
      <c r="P128" s="57">
        <v>45287</v>
      </c>
      <c r="Q128" s="6" t="s">
        <v>24</v>
      </c>
      <c r="R128" s="9">
        <v>664050</v>
      </c>
      <c r="S128" s="10">
        <f t="shared" si="71"/>
        <v>0</v>
      </c>
      <c r="T128" s="6" t="s">
        <v>25</v>
      </c>
    </row>
    <row r="129" spans="1:20">
      <c r="A129" s="145"/>
      <c r="B129" s="6" t="s">
        <v>271</v>
      </c>
      <c r="C129" s="6" t="s">
        <v>21</v>
      </c>
      <c r="D129" s="7" t="s">
        <v>47</v>
      </c>
      <c r="E129" s="8">
        <v>45248</v>
      </c>
      <c r="F129" s="7" t="s">
        <v>151</v>
      </c>
      <c r="G129" s="49">
        <v>3900000</v>
      </c>
      <c r="H129" s="10">
        <f>G129*0.19</f>
        <v>741000</v>
      </c>
      <c r="I129" s="10">
        <f>G129+H129</f>
        <v>4641000</v>
      </c>
      <c r="J129" s="7"/>
      <c r="K129" s="7"/>
      <c r="L129" s="7"/>
      <c r="M129" s="58">
        <v>0</v>
      </c>
      <c r="N129" s="10">
        <f t="shared" si="70"/>
        <v>0</v>
      </c>
      <c r="O129" s="10">
        <f t="shared" si="72"/>
        <v>4641000</v>
      </c>
      <c r="P129" s="7"/>
      <c r="Q129" s="6"/>
      <c r="R129" s="9"/>
      <c r="S129" s="10">
        <f t="shared" si="71"/>
        <v>4641000</v>
      </c>
      <c r="T129" s="6"/>
    </row>
    <row r="130" spans="1:20">
      <c r="A130" s="145"/>
      <c r="B130" s="6" t="s">
        <v>272</v>
      </c>
      <c r="C130" s="6" t="s">
        <v>21</v>
      </c>
      <c r="D130" s="7" t="s">
        <v>47</v>
      </c>
      <c r="E130" s="8">
        <v>45248</v>
      </c>
      <c r="F130" s="7" t="s">
        <v>151</v>
      </c>
      <c r="G130" s="49">
        <v>390000</v>
      </c>
      <c r="H130" s="10">
        <f>G130*0.19</f>
        <v>74100</v>
      </c>
      <c r="I130" s="10">
        <f>G130+H130</f>
        <v>464100</v>
      </c>
      <c r="J130" s="10">
        <f>G130*0.04</f>
        <v>15600</v>
      </c>
      <c r="K130" s="10">
        <f>G130*11.04/1000</f>
        <v>4305.6000000000004</v>
      </c>
      <c r="L130" s="10">
        <f>H130*0.15</f>
        <v>11115</v>
      </c>
      <c r="M130" s="58">
        <v>0</v>
      </c>
      <c r="N130" s="10">
        <f t="shared" si="70"/>
        <v>31020.6</v>
      </c>
      <c r="O130" s="10">
        <f t="shared" si="72"/>
        <v>433079.4</v>
      </c>
      <c r="P130" s="57">
        <v>45296</v>
      </c>
      <c r="Q130" s="6" t="s">
        <v>24</v>
      </c>
      <c r="R130" s="9">
        <v>433079</v>
      </c>
      <c r="S130" s="10">
        <f t="shared" si="71"/>
        <v>0.40000000002328306</v>
      </c>
      <c r="T130" s="6" t="s">
        <v>25</v>
      </c>
    </row>
    <row r="131" spans="1:20">
      <c r="A131" s="152"/>
      <c r="B131" s="11"/>
      <c r="C131" s="11"/>
      <c r="D131" s="12"/>
      <c r="E131" s="11"/>
      <c r="F131" s="12"/>
      <c r="G131" s="87">
        <f>SUM(G117:G130)</f>
        <v>28340000</v>
      </c>
      <c r="H131" s="87">
        <f>SUM(H117:H130)</f>
        <v>5384600</v>
      </c>
      <c r="I131" s="87">
        <f>SUM(I117:I130)</f>
        <v>33724600</v>
      </c>
      <c r="J131" s="87">
        <f t="shared" ref="J131:T131" si="75">SUM(J117:J130)</f>
        <v>517850</v>
      </c>
      <c r="K131" s="87">
        <f t="shared" si="75"/>
        <v>179179.2</v>
      </c>
      <c r="L131" s="87">
        <f t="shared" si="75"/>
        <v>525540</v>
      </c>
      <c r="M131" s="87">
        <f t="shared" si="75"/>
        <v>214215</v>
      </c>
      <c r="N131" s="87">
        <f t="shared" si="75"/>
        <v>1436784.2000000002</v>
      </c>
      <c r="O131" s="87">
        <f>SUM(O117:O130)</f>
        <v>32287815.799999997</v>
      </c>
      <c r="P131" s="87">
        <f t="shared" si="75"/>
        <v>498140</v>
      </c>
      <c r="Q131" s="87">
        <f t="shared" si="75"/>
        <v>0</v>
      </c>
      <c r="R131" s="87">
        <f t="shared" si="75"/>
        <v>20506816</v>
      </c>
      <c r="S131" s="87">
        <f>SUM(S117:S130)</f>
        <v>11780999.800000001</v>
      </c>
      <c r="T131" s="87">
        <f t="shared" si="75"/>
        <v>0</v>
      </c>
    </row>
    <row r="133" spans="1:20" ht="15" customHeight="1">
      <c r="A133" s="144" t="s">
        <v>273</v>
      </c>
      <c r="B133" s="6" t="s">
        <v>274</v>
      </c>
      <c r="C133" s="6" t="s">
        <v>21</v>
      </c>
      <c r="D133" s="7" t="s">
        <v>47</v>
      </c>
      <c r="E133" s="8">
        <v>45280</v>
      </c>
      <c r="F133" s="108" t="s">
        <v>275</v>
      </c>
      <c r="G133" s="49">
        <v>2700000</v>
      </c>
      <c r="H133" s="10">
        <f t="shared" ref="H133:H153" si="76">G133*0.19</f>
        <v>513000</v>
      </c>
      <c r="I133" s="10">
        <f t="shared" ref="I133:I153" si="77">G133+H133</f>
        <v>3213000</v>
      </c>
      <c r="J133" s="10">
        <f t="shared" ref="J133:J141" si="78">G133*0.025</f>
        <v>67500</v>
      </c>
      <c r="K133" s="10">
        <f t="shared" ref="K133:K153" si="79">G133*11.04/1000</f>
        <v>29807.999999999996</v>
      </c>
      <c r="L133" s="10">
        <f t="shared" ref="L133:L153" si="80">H133*0.15</f>
        <v>76950</v>
      </c>
      <c r="M133" s="58">
        <v>50515</v>
      </c>
      <c r="N133" s="10">
        <f t="shared" ref="N133:N153" si="81">SUM(J133:M133)</f>
        <v>224773</v>
      </c>
      <c r="O133" s="10">
        <f t="shared" ref="O133:O156" si="82">+I133-N133</f>
        <v>2988227</v>
      </c>
      <c r="P133" s="57">
        <v>45317</v>
      </c>
      <c r="Q133" s="6" t="s">
        <v>24</v>
      </c>
      <c r="R133" s="9">
        <v>2988227</v>
      </c>
      <c r="S133" s="10">
        <f t="shared" ref="S133:S154" si="83">+O133-R133</f>
        <v>0</v>
      </c>
      <c r="T133" s="6" t="s">
        <v>25</v>
      </c>
    </row>
    <row r="134" spans="1:20">
      <c r="A134" s="145"/>
      <c r="B134" s="6" t="s">
        <v>276</v>
      </c>
      <c r="C134" s="6" t="s">
        <v>21</v>
      </c>
      <c r="D134" s="7" t="s">
        <v>47</v>
      </c>
      <c r="E134" s="8">
        <v>45280</v>
      </c>
      <c r="F134" s="108" t="s">
        <v>275</v>
      </c>
      <c r="G134" s="49">
        <v>2700000</v>
      </c>
      <c r="H134" s="10">
        <f t="shared" si="76"/>
        <v>513000</v>
      </c>
      <c r="I134" s="10">
        <f t="shared" si="77"/>
        <v>3213000</v>
      </c>
      <c r="J134" s="10">
        <f t="shared" si="78"/>
        <v>67500</v>
      </c>
      <c r="K134" s="10">
        <f t="shared" si="79"/>
        <v>29807.999999999996</v>
      </c>
      <c r="L134" s="10">
        <f t="shared" si="80"/>
        <v>76950</v>
      </c>
      <c r="M134" s="58">
        <v>505148</v>
      </c>
      <c r="N134" s="10">
        <f t="shared" si="81"/>
        <v>679406</v>
      </c>
      <c r="O134" s="10">
        <f t="shared" si="82"/>
        <v>2533594</v>
      </c>
      <c r="P134" s="57">
        <v>45317</v>
      </c>
      <c r="Q134" s="6" t="s">
        <v>24</v>
      </c>
      <c r="R134" s="9">
        <v>2533594</v>
      </c>
      <c r="S134" s="10">
        <f t="shared" si="83"/>
        <v>0</v>
      </c>
      <c r="T134" s="6" t="s">
        <v>25</v>
      </c>
    </row>
    <row r="135" spans="1:20">
      <c r="A135" s="145"/>
      <c r="B135" s="6" t="s">
        <v>277</v>
      </c>
      <c r="C135" s="6" t="s">
        <v>21</v>
      </c>
      <c r="D135" s="7" t="s">
        <v>47</v>
      </c>
      <c r="E135" s="8">
        <v>45280</v>
      </c>
      <c r="F135" s="7" t="s">
        <v>278</v>
      </c>
      <c r="G135" s="49">
        <v>4550000</v>
      </c>
      <c r="H135" s="10">
        <f t="shared" si="76"/>
        <v>864500</v>
      </c>
      <c r="I135" s="10">
        <f t="shared" si="77"/>
        <v>5414500</v>
      </c>
      <c r="J135" s="10">
        <f t="shared" si="78"/>
        <v>113750</v>
      </c>
      <c r="K135" s="10">
        <f t="shared" si="79"/>
        <v>50231.999999999993</v>
      </c>
      <c r="L135" s="10">
        <f t="shared" si="80"/>
        <v>129675</v>
      </c>
      <c r="M135" s="58">
        <v>85127</v>
      </c>
      <c r="N135" s="10">
        <f t="shared" si="81"/>
        <v>378784</v>
      </c>
      <c r="O135" s="10">
        <f t="shared" si="82"/>
        <v>5035716</v>
      </c>
      <c r="P135" s="57">
        <v>45317</v>
      </c>
      <c r="Q135" s="6" t="s">
        <v>24</v>
      </c>
      <c r="R135" s="9">
        <v>5035716</v>
      </c>
      <c r="S135" s="10">
        <f t="shared" si="83"/>
        <v>0</v>
      </c>
      <c r="T135" s="6" t="s">
        <v>25</v>
      </c>
    </row>
    <row r="136" spans="1:20" ht="43.15">
      <c r="A136" s="145"/>
      <c r="B136" s="6" t="s">
        <v>279</v>
      </c>
      <c r="C136" s="6" t="s">
        <v>21</v>
      </c>
      <c r="D136" s="7" t="s">
        <v>47</v>
      </c>
      <c r="E136" s="8">
        <v>45280</v>
      </c>
      <c r="F136" s="108" t="s">
        <v>280</v>
      </c>
      <c r="G136" s="49">
        <v>3840000</v>
      </c>
      <c r="H136" s="10">
        <f t="shared" si="76"/>
        <v>729600</v>
      </c>
      <c r="I136" s="10">
        <f t="shared" si="77"/>
        <v>4569600</v>
      </c>
      <c r="J136" s="10">
        <f t="shared" si="78"/>
        <v>96000</v>
      </c>
      <c r="K136" s="10">
        <f t="shared" si="79"/>
        <v>42393.599999999999</v>
      </c>
      <c r="L136" s="10">
        <f t="shared" si="80"/>
        <v>109440</v>
      </c>
      <c r="M136" s="58">
        <v>71843</v>
      </c>
      <c r="N136" s="10">
        <f t="shared" si="81"/>
        <v>319676.59999999998</v>
      </c>
      <c r="O136" s="10">
        <f t="shared" si="82"/>
        <v>4249923.4000000004</v>
      </c>
      <c r="P136" s="57">
        <v>45317</v>
      </c>
      <c r="Q136" s="6" t="s">
        <v>24</v>
      </c>
      <c r="R136" s="9">
        <v>4249923</v>
      </c>
      <c r="S136" s="10">
        <f t="shared" si="83"/>
        <v>0.40000000037252903</v>
      </c>
      <c r="T136" s="6" t="s">
        <v>25</v>
      </c>
    </row>
    <row r="137" spans="1:20">
      <c r="A137" s="145"/>
      <c r="B137" s="6" t="s">
        <v>281</v>
      </c>
      <c r="C137" s="6" t="s">
        <v>21</v>
      </c>
      <c r="D137" s="7" t="s">
        <v>47</v>
      </c>
      <c r="E137" s="8">
        <v>45280</v>
      </c>
      <c r="F137" s="7" t="s">
        <v>278</v>
      </c>
      <c r="G137" s="49">
        <v>2100000</v>
      </c>
      <c r="H137" s="10">
        <f t="shared" si="76"/>
        <v>399000</v>
      </c>
      <c r="I137" s="10">
        <f t="shared" si="77"/>
        <v>2499000</v>
      </c>
      <c r="J137" s="10">
        <f t="shared" si="78"/>
        <v>52500</v>
      </c>
      <c r="K137" s="10">
        <f t="shared" si="79"/>
        <v>23184</v>
      </c>
      <c r="L137" s="10">
        <f t="shared" si="80"/>
        <v>59850</v>
      </c>
      <c r="M137" s="58">
        <v>39289</v>
      </c>
      <c r="N137" s="10">
        <f t="shared" si="81"/>
        <v>174823</v>
      </c>
      <c r="O137" s="10">
        <f t="shared" si="82"/>
        <v>2324177</v>
      </c>
      <c r="P137" s="57">
        <v>45317</v>
      </c>
      <c r="Q137" s="6" t="s">
        <v>24</v>
      </c>
      <c r="R137" s="9">
        <v>2324177</v>
      </c>
      <c r="S137" s="10">
        <f t="shared" si="83"/>
        <v>0</v>
      </c>
      <c r="T137" s="6" t="s">
        <v>25</v>
      </c>
    </row>
    <row r="138" spans="1:20" ht="15" customHeight="1">
      <c r="A138" s="145"/>
      <c r="B138" s="6" t="s">
        <v>282</v>
      </c>
      <c r="C138" s="6" t="s">
        <v>21</v>
      </c>
      <c r="D138" s="7" t="s">
        <v>47</v>
      </c>
      <c r="E138" s="8">
        <v>45280</v>
      </c>
      <c r="F138" s="108" t="s">
        <v>278</v>
      </c>
      <c r="G138" s="49">
        <v>3250000</v>
      </c>
      <c r="H138" s="10">
        <f t="shared" si="76"/>
        <v>617500</v>
      </c>
      <c r="I138" s="10">
        <f t="shared" si="77"/>
        <v>3867500</v>
      </c>
      <c r="J138" s="10">
        <f t="shared" si="78"/>
        <v>81250</v>
      </c>
      <c r="K138" s="10">
        <f t="shared" si="79"/>
        <v>35880</v>
      </c>
      <c r="L138" s="10">
        <f t="shared" si="80"/>
        <v>92625</v>
      </c>
      <c r="M138" s="58">
        <v>60805</v>
      </c>
      <c r="N138" s="10">
        <f t="shared" si="81"/>
        <v>270560</v>
      </c>
      <c r="O138" s="10">
        <f t="shared" si="82"/>
        <v>3596940</v>
      </c>
      <c r="P138" s="57">
        <v>45317</v>
      </c>
      <c r="Q138" s="6" t="s">
        <v>24</v>
      </c>
      <c r="R138" s="9">
        <v>3596940</v>
      </c>
      <c r="S138" s="10">
        <f t="shared" si="83"/>
        <v>0</v>
      </c>
      <c r="T138" s="6" t="s">
        <v>25</v>
      </c>
    </row>
    <row r="139" spans="1:20">
      <c r="A139" s="145"/>
      <c r="B139" s="6" t="s">
        <v>283</v>
      </c>
      <c r="C139" s="6" t="s">
        <v>21</v>
      </c>
      <c r="D139" s="7" t="s">
        <v>47</v>
      </c>
      <c r="E139" s="8">
        <v>45280</v>
      </c>
      <c r="F139" s="108" t="s">
        <v>284</v>
      </c>
      <c r="G139" s="49">
        <v>890000</v>
      </c>
      <c r="H139" s="10">
        <f t="shared" si="76"/>
        <v>169100</v>
      </c>
      <c r="I139" s="10">
        <f t="shared" si="77"/>
        <v>1059100</v>
      </c>
      <c r="J139" s="10">
        <f t="shared" si="78"/>
        <v>22250</v>
      </c>
      <c r="K139" s="10">
        <f t="shared" si="79"/>
        <v>9825.6</v>
      </c>
      <c r="L139" s="10">
        <f t="shared" si="80"/>
        <v>25365</v>
      </c>
      <c r="M139" s="58">
        <v>8326</v>
      </c>
      <c r="N139" s="10">
        <f t="shared" si="81"/>
        <v>65766.600000000006</v>
      </c>
      <c r="O139" s="10">
        <f t="shared" si="82"/>
        <v>993333.4</v>
      </c>
      <c r="P139" s="57">
        <v>45317</v>
      </c>
      <c r="Q139" s="6" t="s">
        <v>24</v>
      </c>
      <c r="R139" s="9">
        <v>993333</v>
      </c>
      <c r="S139" s="10">
        <f t="shared" si="83"/>
        <v>0.40000000002328306</v>
      </c>
      <c r="T139" s="6" t="s">
        <v>25</v>
      </c>
    </row>
    <row r="140" spans="1:20">
      <c r="A140" s="145"/>
      <c r="B140" s="6" t="s">
        <v>285</v>
      </c>
      <c r="C140" s="6" t="s">
        <v>21</v>
      </c>
      <c r="D140" s="7" t="s">
        <v>47</v>
      </c>
      <c r="E140" s="8">
        <v>45280</v>
      </c>
      <c r="F140" s="7" t="s">
        <v>249</v>
      </c>
      <c r="G140" s="49">
        <v>290000</v>
      </c>
      <c r="H140" s="10">
        <f t="shared" si="76"/>
        <v>55100</v>
      </c>
      <c r="I140" s="10">
        <f t="shared" si="77"/>
        <v>345100</v>
      </c>
      <c r="J140" s="10">
        <f t="shared" si="78"/>
        <v>7250</v>
      </c>
      <c r="K140" s="10">
        <f t="shared" si="79"/>
        <v>3201.5999999999995</v>
      </c>
      <c r="L140" s="10">
        <f t="shared" si="80"/>
        <v>8265</v>
      </c>
      <c r="M140" s="58">
        <v>5426</v>
      </c>
      <c r="N140" s="10">
        <f t="shared" si="81"/>
        <v>24142.6</v>
      </c>
      <c r="O140" s="10">
        <f t="shared" si="82"/>
        <v>320957.40000000002</v>
      </c>
      <c r="P140" s="57">
        <v>45317</v>
      </c>
      <c r="Q140" s="6" t="s">
        <v>24</v>
      </c>
      <c r="R140" s="9">
        <v>320957</v>
      </c>
      <c r="S140" s="10">
        <f t="shared" si="83"/>
        <v>0.40000000002328306</v>
      </c>
      <c r="T140" s="6" t="s">
        <v>25</v>
      </c>
    </row>
    <row r="141" spans="1:20" ht="28.9">
      <c r="A141" s="145"/>
      <c r="B141" s="6" t="s">
        <v>286</v>
      </c>
      <c r="C141" s="86" t="s">
        <v>173</v>
      </c>
      <c r="D141" s="7" t="s">
        <v>238</v>
      </c>
      <c r="E141" s="8">
        <v>45280</v>
      </c>
      <c r="F141" s="108" t="s">
        <v>82</v>
      </c>
      <c r="G141" s="49">
        <v>2000000</v>
      </c>
      <c r="H141" s="10">
        <f t="shared" si="76"/>
        <v>380000</v>
      </c>
      <c r="I141" s="10">
        <f t="shared" si="77"/>
        <v>2380000</v>
      </c>
      <c r="J141" s="10">
        <f t="shared" si="78"/>
        <v>50000</v>
      </c>
      <c r="K141" s="10">
        <f t="shared" si="79"/>
        <v>22080</v>
      </c>
      <c r="L141" s="10">
        <f t="shared" si="80"/>
        <v>57000</v>
      </c>
      <c r="M141" s="58">
        <v>37418</v>
      </c>
      <c r="N141" s="10">
        <f t="shared" si="81"/>
        <v>166498</v>
      </c>
      <c r="O141" s="10">
        <f t="shared" si="82"/>
        <v>2213502</v>
      </c>
      <c r="P141" s="57">
        <v>45317</v>
      </c>
      <c r="Q141" s="6" t="s">
        <v>24</v>
      </c>
      <c r="R141" s="9">
        <v>2213502</v>
      </c>
      <c r="S141" s="10">
        <f t="shared" si="83"/>
        <v>0</v>
      </c>
      <c r="T141" s="6" t="s">
        <v>25</v>
      </c>
    </row>
    <row r="142" spans="1:20">
      <c r="A142" s="145"/>
      <c r="B142" s="6" t="s">
        <v>287</v>
      </c>
      <c r="C142" s="6" t="s">
        <v>21</v>
      </c>
      <c r="D142" s="7" t="s">
        <v>47</v>
      </c>
      <c r="E142" s="8">
        <v>45280</v>
      </c>
      <c r="F142" s="7" t="s">
        <v>151</v>
      </c>
      <c r="G142" s="49">
        <v>1580000</v>
      </c>
      <c r="H142" s="10">
        <f t="shared" si="76"/>
        <v>300200</v>
      </c>
      <c r="I142" s="10">
        <f t="shared" si="77"/>
        <v>1880200</v>
      </c>
      <c r="J142" s="10">
        <f t="shared" ref="J142:J149" si="84">G142*0.04</f>
        <v>63200</v>
      </c>
      <c r="K142" s="10">
        <f t="shared" si="79"/>
        <v>17443.2</v>
      </c>
      <c r="L142" s="10">
        <f t="shared" si="80"/>
        <v>45030</v>
      </c>
      <c r="M142" s="58"/>
      <c r="N142" s="10">
        <f t="shared" si="81"/>
        <v>125673.2</v>
      </c>
      <c r="O142" s="10">
        <f t="shared" si="82"/>
        <v>1754526.8</v>
      </c>
      <c r="P142" s="57">
        <v>45357</v>
      </c>
      <c r="Q142" s="6" t="s">
        <v>24</v>
      </c>
      <c r="R142" s="9">
        <v>1754527</v>
      </c>
      <c r="S142" s="10">
        <f t="shared" si="83"/>
        <v>-0.19999999995343387</v>
      </c>
      <c r="T142" s="6" t="s">
        <v>25</v>
      </c>
    </row>
    <row r="143" spans="1:20" ht="15" customHeight="1">
      <c r="A143" s="145"/>
      <c r="B143" s="6" t="s">
        <v>288</v>
      </c>
      <c r="C143" s="6" t="s">
        <v>21</v>
      </c>
      <c r="D143" s="7" t="s">
        <v>47</v>
      </c>
      <c r="E143" s="8">
        <v>45280</v>
      </c>
      <c r="F143" s="7" t="s">
        <v>151</v>
      </c>
      <c r="G143" s="49">
        <v>890000</v>
      </c>
      <c r="H143" s="10">
        <f t="shared" si="76"/>
        <v>169100</v>
      </c>
      <c r="I143" s="10">
        <f t="shared" si="77"/>
        <v>1059100</v>
      </c>
      <c r="J143" s="10">
        <f t="shared" si="84"/>
        <v>35600</v>
      </c>
      <c r="K143" s="10">
        <f t="shared" si="79"/>
        <v>9825.6</v>
      </c>
      <c r="L143" s="10">
        <f t="shared" si="80"/>
        <v>25365</v>
      </c>
      <c r="M143" s="58"/>
      <c r="N143" s="10">
        <f t="shared" si="81"/>
        <v>70790.600000000006</v>
      </c>
      <c r="O143" s="10">
        <f t="shared" si="82"/>
        <v>988309.4</v>
      </c>
      <c r="P143" s="57">
        <v>45357</v>
      </c>
      <c r="Q143" s="6" t="s">
        <v>24</v>
      </c>
      <c r="R143" s="9">
        <v>988309</v>
      </c>
      <c r="S143" s="10">
        <f t="shared" si="83"/>
        <v>0.40000000002328306</v>
      </c>
      <c r="T143" s="6" t="s">
        <v>25</v>
      </c>
    </row>
    <row r="144" spans="1:20">
      <c r="A144" s="145"/>
      <c r="B144" s="6" t="s">
        <v>289</v>
      </c>
      <c r="C144" s="6" t="s">
        <v>21</v>
      </c>
      <c r="D144" s="7" t="s">
        <v>47</v>
      </c>
      <c r="E144" s="8">
        <v>45280</v>
      </c>
      <c r="F144" s="7" t="s">
        <v>151</v>
      </c>
      <c r="G144" s="49">
        <v>3200000</v>
      </c>
      <c r="H144" s="10">
        <f t="shared" si="76"/>
        <v>608000</v>
      </c>
      <c r="I144" s="10">
        <f t="shared" si="77"/>
        <v>3808000</v>
      </c>
      <c r="J144" s="10">
        <f t="shared" si="84"/>
        <v>128000</v>
      </c>
      <c r="K144" s="10">
        <f t="shared" si="79"/>
        <v>35328</v>
      </c>
      <c r="L144" s="10">
        <f t="shared" si="80"/>
        <v>91200</v>
      </c>
      <c r="M144" s="58"/>
      <c r="N144" s="10">
        <f t="shared" si="81"/>
        <v>254528</v>
      </c>
      <c r="O144" s="10">
        <f t="shared" si="82"/>
        <v>3553472</v>
      </c>
      <c r="P144" s="57">
        <v>45349</v>
      </c>
      <c r="Q144" s="6" t="s">
        <v>24</v>
      </c>
      <c r="R144" s="9">
        <v>3553472</v>
      </c>
      <c r="S144" s="10">
        <f t="shared" si="83"/>
        <v>0</v>
      </c>
      <c r="T144" s="6" t="s">
        <v>25</v>
      </c>
    </row>
    <row r="145" spans="1:20">
      <c r="A145" s="145"/>
      <c r="B145" s="6" t="s">
        <v>290</v>
      </c>
      <c r="C145" s="6" t="s">
        <v>21</v>
      </c>
      <c r="D145" s="7" t="s">
        <v>47</v>
      </c>
      <c r="E145" s="8">
        <v>45280</v>
      </c>
      <c r="F145" s="7" t="s">
        <v>151</v>
      </c>
      <c r="G145" s="49">
        <v>1470000</v>
      </c>
      <c r="H145" s="10">
        <f t="shared" si="76"/>
        <v>279300</v>
      </c>
      <c r="I145" s="10">
        <f t="shared" si="77"/>
        <v>1749300</v>
      </c>
      <c r="J145" s="10">
        <f t="shared" si="84"/>
        <v>58800</v>
      </c>
      <c r="K145" s="10">
        <f t="shared" si="79"/>
        <v>16228.799999999997</v>
      </c>
      <c r="L145" s="10">
        <f t="shared" si="80"/>
        <v>41895</v>
      </c>
      <c r="M145" s="58"/>
      <c r="N145" s="10">
        <f t="shared" si="81"/>
        <v>116923.8</v>
      </c>
      <c r="O145" s="10">
        <f t="shared" si="82"/>
        <v>1632376.2</v>
      </c>
      <c r="P145" s="57">
        <v>45349</v>
      </c>
      <c r="Q145" s="6" t="s">
        <v>24</v>
      </c>
      <c r="R145" s="9">
        <v>1632376</v>
      </c>
      <c r="S145" s="10">
        <f t="shared" si="83"/>
        <v>0.19999999995343387</v>
      </c>
      <c r="T145" s="6" t="s">
        <v>25</v>
      </c>
    </row>
    <row r="146" spans="1:20">
      <c r="A146" s="145"/>
      <c r="B146" s="6" t="s">
        <v>291</v>
      </c>
      <c r="C146" s="6" t="s">
        <v>21</v>
      </c>
      <c r="D146" s="7" t="s">
        <v>47</v>
      </c>
      <c r="E146" s="8">
        <v>45280</v>
      </c>
      <c r="F146" s="7" t="s">
        <v>151</v>
      </c>
      <c r="G146" s="49">
        <v>1600000</v>
      </c>
      <c r="H146" s="10">
        <f t="shared" si="76"/>
        <v>304000</v>
      </c>
      <c r="I146" s="10">
        <f t="shared" si="77"/>
        <v>1904000</v>
      </c>
      <c r="J146" s="10">
        <f t="shared" si="84"/>
        <v>64000</v>
      </c>
      <c r="K146" s="10">
        <f t="shared" si="79"/>
        <v>17664</v>
      </c>
      <c r="L146" s="10">
        <f t="shared" si="80"/>
        <v>45600</v>
      </c>
      <c r="M146" s="58"/>
      <c r="N146" s="10">
        <f t="shared" si="81"/>
        <v>127264</v>
      </c>
      <c r="O146" s="10">
        <f t="shared" si="82"/>
        <v>1776736</v>
      </c>
      <c r="P146" s="57">
        <v>45349</v>
      </c>
      <c r="Q146" s="6" t="s">
        <v>24</v>
      </c>
      <c r="R146" s="9">
        <v>1776736</v>
      </c>
      <c r="S146" s="10">
        <f t="shared" si="83"/>
        <v>0</v>
      </c>
      <c r="T146" s="6" t="s">
        <v>25</v>
      </c>
    </row>
    <row r="147" spans="1:20">
      <c r="A147" s="145"/>
      <c r="B147" s="6" t="s">
        <v>292</v>
      </c>
      <c r="C147" s="6" t="s">
        <v>21</v>
      </c>
      <c r="D147" s="7" t="s">
        <v>47</v>
      </c>
      <c r="E147" s="8">
        <v>45280</v>
      </c>
      <c r="F147" s="7" t="s">
        <v>151</v>
      </c>
      <c r="G147" s="49">
        <v>2470000</v>
      </c>
      <c r="H147" s="10">
        <f t="shared" si="76"/>
        <v>469300</v>
      </c>
      <c r="I147" s="10">
        <f t="shared" si="77"/>
        <v>2939300</v>
      </c>
      <c r="J147" s="10">
        <f t="shared" si="84"/>
        <v>98800</v>
      </c>
      <c r="K147" s="10">
        <f t="shared" si="79"/>
        <v>27268.799999999996</v>
      </c>
      <c r="L147" s="10">
        <f t="shared" si="80"/>
        <v>70395</v>
      </c>
      <c r="M147" s="58"/>
      <c r="N147" s="10">
        <f t="shared" si="81"/>
        <v>196463.8</v>
      </c>
      <c r="O147" s="10">
        <f t="shared" si="82"/>
        <v>2742836.2</v>
      </c>
      <c r="P147" s="57">
        <v>45349</v>
      </c>
      <c r="Q147" s="6" t="s">
        <v>24</v>
      </c>
      <c r="R147" s="9">
        <v>2742836</v>
      </c>
      <c r="S147" s="10">
        <f t="shared" si="83"/>
        <v>0.20000000018626451</v>
      </c>
      <c r="T147" s="6" t="s">
        <v>25</v>
      </c>
    </row>
    <row r="148" spans="1:20">
      <c r="A148" s="145"/>
      <c r="B148" s="6" t="s">
        <v>293</v>
      </c>
      <c r="C148" s="6" t="s">
        <v>21</v>
      </c>
      <c r="D148" s="7" t="s">
        <v>47</v>
      </c>
      <c r="E148" s="8">
        <v>45280</v>
      </c>
      <c r="F148" s="7" t="s">
        <v>151</v>
      </c>
      <c r="G148" s="49">
        <v>2660000</v>
      </c>
      <c r="H148" s="10">
        <f t="shared" si="76"/>
        <v>505400</v>
      </c>
      <c r="I148" s="10">
        <f t="shared" si="77"/>
        <v>3165400</v>
      </c>
      <c r="J148" s="10">
        <f t="shared" si="84"/>
        <v>106400</v>
      </c>
      <c r="K148" s="10">
        <f t="shared" si="79"/>
        <v>29366.399999999998</v>
      </c>
      <c r="L148" s="10">
        <f t="shared" si="80"/>
        <v>75810</v>
      </c>
      <c r="M148" s="58"/>
      <c r="N148" s="10">
        <f t="shared" si="81"/>
        <v>211576.4</v>
      </c>
      <c r="O148" s="10">
        <f t="shared" si="82"/>
        <v>2953823.6</v>
      </c>
      <c r="P148" s="57">
        <v>45357</v>
      </c>
      <c r="Q148" s="6" t="s">
        <v>24</v>
      </c>
      <c r="R148" s="9">
        <v>2953824</v>
      </c>
      <c r="S148" s="10">
        <f>+O148-R148</f>
        <v>-0.39999999990686774</v>
      </c>
      <c r="T148" s="6" t="s">
        <v>25</v>
      </c>
    </row>
    <row r="149" spans="1:20" ht="15" customHeight="1">
      <c r="A149" s="145"/>
      <c r="B149" s="6" t="s">
        <v>294</v>
      </c>
      <c r="C149" s="6" t="s">
        <v>21</v>
      </c>
      <c r="D149" s="7" t="s">
        <v>47</v>
      </c>
      <c r="E149" s="8">
        <v>45280</v>
      </c>
      <c r="F149" s="7" t="s">
        <v>151</v>
      </c>
      <c r="G149" s="49">
        <v>2280000</v>
      </c>
      <c r="H149" s="10">
        <f t="shared" si="76"/>
        <v>433200</v>
      </c>
      <c r="I149" s="10">
        <f t="shared" si="77"/>
        <v>2713200</v>
      </c>
      <c r="J149" s="10">
        <f t="shared" si="84"/>
        <v>91200</v>
      </c>
      <c r="K149" s="10">
        <f t="shared" si="79"/>
        <v>25171.199999999997</v>
      </c>
      <c r="L149" s="10">
        <f t="shared" si="80"/>
        <v>64980</v>
      </c>
      <c r="M149" s="58"/>
      <c r="N149" s="10">
        <f t="shared" si="81"/>
        <v>181351.2</v>
      </c>
      <c r="O149" s="10">
        <f t="shared" si="82"/>
        <v>2531848.7999999998</v>
      </c>
      <c r="P149" s="57">
        <v>45357</v>
      </c>
      <c r="Q149" s="6" t="s">
        <v>24</v>
      </c>
      <c r="R149" s="9">
        <v>2531849</v>
      </c>
      <c r="S149" s="10">
        <f t="shared" si="83"/>
        <v>-0.20000000018626451</v>
      </c>
      <c r="T149" s="6" t="s">
        <v>25</v>
      </c>
    </row>
    <row r="150" spans="1:20">
      <c r="A150" s="145"/>
      <c r="B150" s="6" t="s">
        <v>295</v>
      </c>
      <c r="C150" s="6" t="s">
        <v>21</v>
      </c>
      <c r="D150" s="7" t="s">
        <v>47</v>
      </c>
      <c r="E150" s="8">
        <v>45280</v>
      </c>
      <c r="F150" s="108" t="s">
        <v>275</v>
      </c>
      <c r="G150" s="49">
        <v>2700000</v>
      </c>
      <c r="H150" s="10">
        <f t="shared" si="76"/>
        <v>513000</v>
      </c>
      <c r="I150" s="10">
        <f t="shared" si="77"/>
        <v>3213000</v>
      </c>
      <c r="J150" s="10">
        <f>G150*0.025</f>
        <v>67500</v>
      </c>
      <c r="K150" s="10">
        <f t="shared" si="79"/>
        <v>29807.999999999996</v>
      </c>
      <c r="L150" s="10">
        <f t="shared" si="80"/>
        <v>76950</v>
      </c>
      <c r="M150" s="58"/>
      <c r="N150" s="10">
        <f t="shared" si="81"/>
        <v>174258</v>
      </c>
      <c r="O150" s="10">
        <f t="shared" si="82"/>
        <v>3038742</v>
      </c>
      <c r="P150" s="57">
        <v>45349</v>
      </c>
      <c r="Q150" s="6" t="s">
        <v>24</v>
      </c>
      <c r="R150" s="9">
        <v>3038742</v>
      </c>
      <c r="S150" s="10">
        <f t="shared" si="83"/>
        <v>0</v>
      </c>
      <c r="T150" s="6" t="s">
        <v>25</v>
      </c>
    </row>
    <row r="151" spans="1:20">
      <c r="A151" s="145"/>
      <c r="B151" s="6" t="s">
        <v>296</v>
      </c>
      <c r="C151" s="6" t="s">
        <v>21</v>
      </c>
      <c r="D151" s="7" t="s">
        <v>47</v>
      </c>
      <c r="E151" s="8">
        <v>45280</v>
      </c>
      <c r="F151" s="7" t="s">
        <v>151</v>
      </c>
      <c r="G151" s="49">
        <v>280000</v>
      </c>
      <c r="H151" s="10">
        <f t="shared" si="76"/>
        <v>53200</v>
      </c>
      <c r="I151" s="10">
        <f t="shared" si="77"/>
        <v>333200</v>
      </c>
      <c r="J151" s="10">
        <f>G151*0.04</f>
        <v>11200</v>
      </c>
      <c r="K151" s="10">
        <f t="shared" si="79"/>
        <v>3091.1999999999994</v>
      </c>
      <c r="L151" s="10">
        <f t="shared" si="80"/>
        <v>7980</v>
      </c>
      <c r="M151" s="58"/>
      <c r="N151" s="10">
        <f t="shared" si="81"/>
        <v>22271.199999999997</v>
      </c>
      <c r="O151" s="10">
        <f t="shared" si="82"/>
        <v>310928.8</v>
      </c>
      <c r="P151" s="57">
        <v>45349</v>
      </c>
      <c r="Q151" s="6" t="s">
        <v>24</v>
      </c>
      <c r="R151" s="9">
        <v>310929</v>
      </c>
      <c r="S151" s="10">
        <f t="shared" si="83"/>
        <v>-0.20000000001164153</v>
      </c>
      <c r="T151" s="6" t="s">
        <v>25</v>
      </c>
    </row>
    <row r="152" spans="1:20">
      <c r="A152" s="145"/>
      <c r="B152" s="6" t="s">
        <v>297</v>
      </c>
      <c r="C152" s="6" t="s">
        <v>21</v>
      </c>
      <c r="D152" s="7" t="s">
        <v>47</v>
      </c>
      <c r="E152" s="8">
        <v>45280</v>
      </c>
      <c r="F152" s="7" t="s">
        <v>151</v>
      </c>
      <c r="G152" s="49">
        <v>3600000</v>
      </c>
      <c r="H152" s="10">
        <f t="shared" si="76"/>
        <v>684000</v>
      </c>
      <c r="I152" s="10">
        <f t="shared" si="77"/>
        <v>4284000</v>
      </c>
      <c r="J152" s="10">
        <f>G152*0.04</f>
        <v>144000</v>
      </c>
      <c r="K152" s="10">
        <f t="shared" si="79"/>
        <v>39744</v>
      </c>
      <c r="L152" s="10">
        <f t="shared" si="80"/>
        <v>102600</v>
      </c>
      <c r="M152" s="58"/>
      <c r="N152" s="10">
        <f t="shared" si="81"/>
        <v>286344</v>
      </c>
      <c r="O152" s="10">
        <f t="shared" si="82"/>
        <v>3997656</v>
      </c>
      <c r="P152" s="57">
        <v>45349</v>
      </c>
      <c r="Q152" s="6" t="s">
        <v>24</v>
      </c>
      <c r="R152" s="9">
        <v>3997656</v>
      </c>
      <c r="S152" s="10">
        <f>+O152-R152</f>
        <v>0</v>
      </c>
      <c r="T152" s="6" t="s">
        <v>25</v>
      </c>
    </row>
    <row r="153" spans="1:20">
      <c r="A153" s="145"/>
      <c r="B153" s="6" t="s">
        <v>298</v>
      </c>
      <c r="C153" s="6" t="s">
        <v>21</v>
      </c>
      <c r="D153" s="7" t="s">
        <v>47</v>
      </c>
      <c r="E153" s="8">
        <v>45280</v>
      </c>
      <c r="F153" s="7" t="s">
        <v>151</v>
      </c>
      <c r="G153" s="49">
        <v>490000</v>
      </c>
      <c r="H153" s="10">
        <f t="shared" si="76"/>
        <v>93100</v>
      </c>
      <c r="I153" s="10">
        <f t="shared" si="77"/>
        <v>583100</v>
      </c>
      <c r="J153" s="10">
        <f>G153*0.04</f>
        <v>19600</v>
      </c>
      <c r="K153" s="10">
        <f t="shared" si="79"/>
        <v>5409.6</v>
      </c>
      <c r="L153" s="10">
        <f t="shared" si="80"/>
        <v>13965</v>
      </c>
      <c r="M153" s="58"/>
      <c r="N153" s="10">
        <f t="shared" si="81"/>
        <v>38974.6</v>
      </c>
      <c r="O153" s="10">
        <f t="shared" si="82"/>
        <v>544125.4</v>
      </c>
      <c r="P153" s="57">
        <v>45349</v>
      </c>
      <c r="Q153" s="6" t="s">
        <v>24</v>
      </c>
      <c r="R153" s="9">
        <v>544125</v>
      </c>
      <c r="S153" s="10">
        <f t="shared" si="83"/>
        <v>0.40000000002328306</v>
      </c>
      <c r="T153" s="6" t="s">
        <v>25</v>
      </c>
    </row>
    <row r="154" spans="1:20" ht="15" customHeight="1">
      <c r="A154" s="145"/>
      <c r="B154" s="6" t="s">
        <v>299</v>
      </c>
      <c r="C154" s="6" t="s">
        <v>21</v>
      </c>
      <c r="D154" s="7" t="s">
        <v>47</v>
      </c>
      <c r="E154" s="8">
        <v>45280</v>
      </c>
      <c r="F154" s="7" t="s">
        <v>151</v>
      </c>
      <c r="G154" s="49">
        <v>390000</v>
      </c>
      <c r="H154" s="10">
        <f>G154*0.19</f>
        <v>74100</v>
      </c>
      <c r="I154" s="10">
        <f>G154+H154</f>
        <v>464100</v>
      </c>
      <c r="J154" s="10"/>
      <c r="K154" s="10"/>
      <c r="L154" s="10"/>
      <c r="M154" s="58"/>
      <c r="N154" s="10"/>
      <c r="O154" s="10">
        <f t="shared" si="82"/>
        <v>464100</v>
      </c>
      <c r="P154" s="57"/>
      <c r="Q154" s="6"/>
      <c r="R154" s="9"/>
      <c r="S154" s="10">
        <f t="shared" si="83"/>
        <v>464100</v>
      </c>
      <c r="T154" s="6"/>
    </row>
    <row r="155" spans="1:20">
      <c r="A155" s="145"/>
      <c r="B155" s="6" t="s">
        <v>300</v>
      </c>
      <c r="C155" s="6" t="s">
        <v>21</v>
      </c>
      <c r="D155" s="7" t="s">
        <v>47</v>
      </c>
      <c r="E155" s="8">
        <v>45280</v>
      </c>
      <c r="F155" s="7" t="s">
        <v>151</v>
      </c>
      <c r="G155" s="49">
        <v>450000</v>
      </c>
      <c r="H155" s="10">
        <f>G155*0.19</f>
        <v>85500</v>
      </c>
      <c r="I155" s="10">
        <f>G155+H155</f>
        <v>535500</v>
      </c>
      <c r="J155" s="10">
        <f>G155*0.04</f>
        <v>18000</v>
      </c>
      <c r="K155" s="10">
        <f>G155*11.04/1000</f>
        <v>4968</v>
      </c>
      <c r="L155" s="10">
        <f>H155*0.15</f>
        <v>12825</v>
      </c>
      <c r="M155" s="58"/>
      <c r="N155" s="10">
        <f>SUM(J155:M155)</f>
        <v>35793</v>
      </c>
      <c r="O155" s="10">
        <f t="shared" si="82"/>
        <v>499707</v>
      </c>
      <c r="P155" s="57">
        <v>45349</v>
      </c>
      <c r="Q155" s="6" t="s">
        <v>24</v>
      </c>
      <c r="R155" s="9">
        <v>499707</v>
      </c>
      <c r="S155" s="10">
        <f>+O155-R155</f>
        <v>0</v>
      </c>
      <c r="T155" s="6" t="s">
        <v>25</v>
      </c>
    </row>
    <row r="156" spans="1:20">
      <c r="A156" s="145"/>
      <c r="B156" s="6" t="s">
        <v>301</v>
      </c>
      <c r="C156" s="6" t="s">
        <v>21</v>
      </c>
      <c r="D156" s="7" t="s">
        <v>47</v>
      </c>
      <c r="E156" s="8">
        <v>45280</v>
      </c>
      <c r="F156" s="7" t="s">
        <v>151</v>
      </c>
      <c r="G156" s="49">
        <v>150000</v>
      </c>
      <c r="H156" s="10">
        <f>G156*0.19</f>
        <v>28500</v>
      </c>
      <c r="I156" s="10">
        <f>G156+H156</f>
        <v>178500</v>
      </c>
      <c r="J156" s="10">
        <f>G156*0.04</f>
        <v>6000</v>
      </c>
      <c r="K156" s="10">
        <f>G156*11.04/1000</f>
        <v>1655.9999999999998</v>
      </c>
      <c r="L156" s="10">
        <f>H156*0.15</f>
        <v>4275</v>
      </c>
      <c r="M156" s="58"/>
      <c r="N156" s="10">
        <f>SUM(J156:M156)</f>
        <v>11931</v>
      </c>
      <c r="O156" s="10">
        <f t="shared" si="82"/>
        <v>166569</v>
      </c>
      <c r="P156" s="57">
        <v>45349</v>
      </c>
      <c r="Q156" s="6" t="s">
        <v>24</v>
      </c>
      <c r="R156" s="9">
        <v>166569</v>
      </c>
      <c r="S156" s="10">
        <f>+O156-R156</f>
        <v>0</v>
      </c>
      <c r="T156" s="6" t="s">
        <v>25</v>
      </c>
    </row>
    <row r="157" spans="1:20">
      <c r="A157" s="145"/>
      <c r="B157" s="11"/>
      <c r="C157" s="11"/>
      <c r="D157" s="12"/>
      <c r="E157" s="11"/>
      <c r="F157" s="12"/>
      <c r="G157" s="87">
        <f>SUM(G133:G156)</f>
        <v>46530000</v>
      </c>
      <c r="H157" s="87">
        <f t="shared" ref="H157:T157" si="85">SUM(H133:H156)</f>
        <v>8840700</v>
      </c>
      <c r="I157" s="87">
        <f>SUM(I133:I156)</f>
        <v>55370700</v>
      </c>
      <c r="J157" s="87">
        <f t="shared" si="85"/>
        <v>1470300</v>
      </c>
      <c r="K157" s="87">
        <f t="shared" si="85"/>
        <v>509385.6</v>
      </c>
      <c r="L157" s="87">
        <f t="shared" si="85"/>
        <v>1314990</v>
      </c>
      <c r="M157" s="87">
        <f t="shared" si="85"/>
        <v>863897</v>
      </c>
      <c r="N157" s="87">
        <f t="shared" si="85"/>
        <v>4158572.6000000006</v>
      </c>
      <c r="O157" s="87">
        <f t="shared" si="85"/>
        <v>51212127.399999991</v>
      </c>
      <c r="P157" s="87">
        <f t="shared" si="85"/>
        <v>1042771</v>
      </c>
      <c r="Q157" s="87">
        <f t="shared" si="85"/>
        <v>0</v>
      </c>
      <c r="R157" s="87">
        <f t="shared" si="85"/>
        <v>50748026</v>
      </c>
      <c r="S157" s="87">
        <f t="shared" si="85"/>
        <v>464101.40000000055</v>
      </c>
      <c r="T157" s="87">
        <f t="shared" si="85"/>
        <v>0</v>
      </c>
    </row>
    <row r="158" spans="1:20">
      <c r="B158" s="101"/>
      <c r="C158" s="102"/>
      <c r="D158" s="103"/>
      <c r="E158" s="104"/>
      <c r="F158" s="109"/>
      <c r="G158" s="105"/>
      <c r="H158" s="3"/>
      <c r="I158" s="3"/>
      <c r="J158" s="3"/>
      <c r="K158" s="3"/>
      <c r="L158" s="3"/>
      <c r="M158" s="106"/>
      <c r="N158" s="3"/>
      <c r="O158" s="3"/>
      <c r="P158" s="110"/>
      <c r="R158" s="107"/>
      <c r="S158" s="3"/>
    </row>
    <row r="159" spans="1:20" s="120" customFormat="1">
      <c r="B159" s="121"/>
      <c r="C159" s="122"/>
      <c r="D159" s="123"/>
      <c r="E159" s="124"/>
      <c r="G159" s="75">
        <f>+G17+G27+G37+G44+G54+G67+G73+G87+G104+G115+G131+G157</f>
        <v>262884265</v>
      </c>
      <c r="H159" s="75">
        <f t="shared" ref="H159:T159" si="86">+H17+H27+H37+H44+H54+H67+H73+H87+H104+H115+H131+H157</f>
        <v>49948010.349999994</v>
      </c>
      <c r="I159" s="75">
        <f t="shared" si="86"/>
        <v>312832275.35000002</v>
      </c>
      <c r="J159" s="75">
        <f t="shared" si="86"/>
        <v>5312250.125</v>
      </c>
      <c r="K159" s="75">
        <f t="shared" si="86"/>
        <v>2554898.9351999997</v>
      </c>
      <c r="L159" s="75">
        <f t="shared" si="86"/>
        <v>6977142.1425000001</v>
      </c>
      <c r="M159" s="75">
        <f t="shared" si="86"/>
        <v>2211816</v>
      </c>
      <c r="N159" s="75">
        <f t="shared" si="86"/>
        <v>17056107.202700004</v>
      </c>
      <c r="O159" s="75">
        <f t="shared" si="86"/>
        <v>295776168.14729995</v>
      </c>
      <c r="P159" s="75">
        <f t="shared" si="86"/>
        <v>5242500</v>
      </c>
      <c r="Q159" s="75">
        <f t="shared" si="86"/>
        <v>0</v>
      </c>
      <c r="R159" s="75">
        <f t="shared" si="86"/>
        <v>273245068</v>
      </c>
      <c r="S159" s="75">
        <f t="shared" si="86"/>
        <v>22531100.147300001</v>
      </c>
      <c r="T159" s="75">
        <f t="shared" si="86"/>
        <v>0</v>
      </c>
    </row>
    <row r="160" spans="1:20" ht="19.5" customHeight="1" thickBot="1">
      <c r="B160" s="146" t="s">
        <v>302</v>
      </c>
      <c r="C160" s="147"/>
      <c r="D160" s="147"/>
      <c r="E160" s="148"/>
    </row>
    <row r="161" spans="2:23" ht="30" customHeight="1">
      <c r="B161" s="16" t="s">
        <v>1</v>
      </c>
      <c r="C161" s="17" t="s">
        <v>303</v>
      </c>
      <c r="D161" s="17" t="s">
        <v>3</v>
      </c>
      <c r="E161" s="17" t="s">
        <v>4</v>
      </c>
      <c r="F161" s="17" t="s">
        <v>5</v>
      </c>
      <c r="G161" s="18" t="s">
        <v>6</v>
      </c>
      <c r="H161" s="18" t="s">
        <v>7</v>
      </c>
      <c r="I161" s="18" t="s">
        <v>8</v>
      </c>
      <c r="J161" s="19" t="s">
        <v>9</v>
      </c>
      <c r="K161" s="20" t="s">
        <v>10</v>
      </c>
      <c r="L161" s="20" t="s">
        <v>11</v>
      </c>
      <c r="M161" s="60" t="s">
        <v>12</v>
      </c>
      <c r="N161" s="20" t="s">
        <v>13</v>
      </c>
      <c r="O161" s="20" t="s">
        <v>14</v>
      </c>
      <c r="P161" s="21" t="s">
        <v>15</v>
      </c>
      <c r="Q161" s="20" t="s">
        <v>16</v>
      </c>
      <c r="R161" s="60" t="s">
        <v>17</v>
      </c>
      <c r="S161" s="22" t="s">
        <v>18</v>
      </c>
      <c r="T161" s="23" t="s">
        <v>19</v>
      </c>
      <c r="U161" s="24"/>
      <c r="V161" s="25"/>
      <c r="W161" s="26"/>
    </row>
    <row r="162" spans="2:23" s="62" customFormat="1" ht="16.5" customHeight="1">
      <c r="B162" s="63" t="s">
        <v>216</v>
      </c>
      <c r="C162" s="63" t="s">
        <v>304</v>
      </c>
      <c r="D162" s="64" t="s">
        <v>47</v>
      </c>
      <c r="E162" s="65">
        <v>45175</v>
      </c>
      <c r="F162" s="64" t="s">
        <v>217</v>
      </c>
      <c r="G162" s="66">
        <v>450000</v>
      </c>
      <c r="H162" s="67">
        <f>G162*0.19</f>
        <v>85500</v>
      </c>
      <c r="I162" s="67">
        <f>G162+H162</f>
        <v>535500</v>
      </c>
      <c r="J162" s="67">
        <v>0</v>
      </c>
      <c r="K162" s="67">
        <v>0</v>
      </c>
      <c r="L162" s="67">
        <v>0</v>
      </c>
      <c r="M162" s="68">
        <v>0</v>
      </c>
      <c r="N162" s="67">
        <f>SUM(J162:M162)</f>
        <v>0</v>
      </c>
      <c r="O162" s="67">
        <v>0</v>
      </c>
      <c r="P162" s="64"/>
      <c r="Q162" s="63"/>
      <c r="R162" s="66"/>
      <c r="S162" s="67">
        <f>+O162-R162</f>
        <v>0</v>
      </c>
      <c r="T162" s="63"/>
    </row>
    <row r="164" spans="2:23">
      <c r="G164" s="3">
        <f>+G159-G162</f>
        <v>262434265</v>
      </c>
      <c r="H164" s="3">
        <f t="shared" ref="H164:T164" si="87">+H159-H162</f>
        <v>49862510.349999994</v>
      </c>
      <c r="I164" s="3">
        <f t="shared" si="87"/>
        <v>312296775.35000002</v>
      </c>
      <c r="J164" s="3">
        <f t="shared" si="87"/>
        <v>5312250.125</v>
      </c>
      <c r="K164" s="3">
        <f t="shared" si="87"/>
        <v>2554898.9351999997</v>
      </c>
      <c r="L164" s="3">
        <f t="shared" si="87"/>
        <v>6977142.1425000001</v>
      </c>
      <c r="M164" s="3">
        <f t="shared" si="87"/>
        <v>2211816</v>
      </c>
      <c r="N164" s="3">
        <f t="shared" si="87"/>
        <v>17056107.202700004</v>
      </c>
      <c r="O164" s="3">
        <f t="shared" si="87"/>
        <v>295776168.14729995</v>
      </c>
      <c r="P164" s="3">
        <f t="shared" si="87"/>
        <v>5242500</v>
      </c>
      <c r="Q164" s="3">
        <f t="shared" si="87"/>
        <v>0</v>
      </c>
      <c r="R164" s="3">
        <f t="shared" si="87"/>
        <v>273245068</v>
      </c>
      <c r="S164" s="3">
        <f t="shared" si="87"/>
        <v>22531100.147300001</v>
      </c>
      <c r="T164" s="3">
        <f t="shared" si="87"/>
        <v>0</v>
      </c>
    </row>
  </sheetData>
  <autoFilter ref="A4:T131" xr:uid="{77E936B5-0F16-48E3-A31F-DAEC6122A4D9}"/>
  <mergeCells count="18">
    <mergeCell ref="A133:A157"/>
    <mergeCell ref="B160:E160"/>
    <mergeCell ref="A75:A87"/>
    <mergeCell ref="AB81:AF81"/>
    <mergeCell ref="V82:X82"/>
    <mergeCell ref="V83:AE83"/>
    <mergeCell ref="AF83:AG83"/>
    <mergeCell ref="A89:A104"/>
    <mergeCell ref="A46:A54"/>
    <mergeCell ref="A56:A67"/>
    <mergeCell ref="A69:A73"/>
    <mergeCell ref="A106:A115"/>
    <mergeCell ref="A117:A131"/>
    <mergeCell ref="B2:D2"/>
    <mergeCell ref="A7:A17"/>
    <mergeCell ref="A19:A27"/>
    <mergeCell ref="A29:A37"/>
    <mergeCell ref="A39:A4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454F-08D2-4A67-9833-FA8563E2178F}">
  <dimension ref="A1:AG151"/>
  <sheetViews>
    <sheetView zoomScale="85" zoomScaleNormal="85" workbookViewId="0">
      <pane xSplit="4" ySplit="4" topLeftCell="E5" activePane="bottomRight" state="frozen"/>
      <selection pane="bottomRight" activeCell="G145" sqref="G145"/>
      <selection pane="bottomLeft" activeCell="A5" sqref="A5"/>
      <selection pane="topRight" activeCell="E1" sqref="E1"/>
    </sheetView>
  </sheetViews>
  <sheetFormatPr defaultColWidth="10.7109375" defaultRowHeight="14.45"/>
  <cols>
    <col min="2" max="2" width="10.5703125" style="1" customWidth="1"/>
    <col min="3" max="3" width="15" style="1" customWidth="1"/>
    <col min="4" max="4" width="33.28515625" customWidth="1"/>
    <col min="5" max="5" width="12.42578125" style="1" customWidth="1"/>
    <col min="6" max="6" width="35.28515625" customWidth="1"/>
    <col min="7" max="7" width="14.42578125" customWidth="1"/>
    <col min="8" max="8" width="12.85546875" customWidth="1"/>
    <col min="9" max="9" width="14.7109375" customWidth="1"/>
    <col min="10" max="10" width="12.42578125" customWidth="1"/>
    <col min="11" max="11" width="12" bestFit="1" customWidth="1"/>
    <col min="12" max="12" width="13.42578125" customWidth="1"/>
    <col min="13" max="13" width="15.42578125" style="61" customWidth="1"/>
    <col min="14" max="14" width="16.28515625" customWidth="1"/>
    <col min="15" max="15" width="13.7109375" customWidth="1"/>
    <col min="16" max="16" width="13.42578125" customWidth="1"/>
    <col min="17" max="17" width="11.42578125" style="1" customWidth="1"/>
    <col min="18" max="18" width="15.5703125" style="2" bestFit="1" customWidth="1"/>
    <col min="19" max="19" width="13.85546875" customWidth="1"/>
    <col min="20" max="20" width="13.140625" style="1" customWidth="1"/>
    <col min="21" max="21" width="10.7109375" customWidth="1"/>
    <col min="22" max="22" width="29.140625" customWidth="1"/>
    <col min="23" max="23" width="21.7109375" customWidth="1"/>
    <col min="24" max="24" width="22.140625" customWidth="1"/>
    <col min="25" max="25" width="12.85546875" customWidth="1"/>
    <col min="26" max="26" width="12.140625" bestFit="1" customWidth="1"/>
    <col min="27" max="27" width="20" bestFit="1" customWidth="1"/>
    <col min="30" max="30" width="12.28515625" customWidth="1"/>
    <col min="31" max="31" width="19.5703125" customWidth="1"/>
    <col min="32" max="32" width="13.140625" bestFit="1" customWidth="1"/>
    <col min="33" max="33" width="12.140625" bestFit="1" customWidth="1"/>
  </cols>
  <sheetData>
    <row r="1" spans="1:23" ht="15" thickBot="1"/>
    <row r="2" spans="1:23" ht="21" customHeight="1" thickBot="1">
      <c r="B2" s="149" t="s">
        <v>0</v>
      </c>
      <c r="C2" s="150"/>
      <c r="D2" s="151"/>
      <c r="E2" s="79"/>
    </row>
    <row r="3" spans="1:23" ht="15" thickBot="1"/>
    <row r="4" spans="1:23" ht="33" customHeight="1"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18" t="s">
        <v>7</v>
      </c>
      <c r="I4" s="18" t="s">
        <v>8</v>
      </c>
      <c r="J4" s="19" t="s">
        <v>9</v>
      </c>
      <c r="K4" s="20" t="s">
        <v>10</v>
      </c>
      <c r="L4" s="20" t="s">
        <v>11</v>
      </c>
      <c r="M4" s="60" t="s">
        <v>12</v>
      </c>
      <c r="N4" s="20" t="s">
        <v>13</v>
      </c>
      <c r="O4" s="20" t="s">
        <v>14</v>
      </c>
      <c r="P4" s="21" t="s">
        <v>15</v>
      </c>
      <c r="Q4" s="20" t="s">
        <v>16</v>
      </c>
      <c r="R4" s="60" t="s">
        <v>17</v>
      </c>
      <c r="S4" s="22" t="s">
        <v>18</v>
      </c>
      <c r="T4" s="23" t="s">
        <v>19</v>
      </c>
      <c r="U4" s="24"/>
      <c r="V4" s="25"/>
      <c r="W4" s="26"/>
    </row>
    <row r="6" spans="1:23" ht="15" customHeight="1">
      <c r="A6" s="118"/>
      <c r="E6" s="5"/>
      <c r="G6" s="105"/>
      <c r="H6" s="105"/>
      <c r="I6" s="105"/>
      <c r="J6" s="105"/>
      <c r="K6" s="105"/>
      <c r="L6" s="105"/>
      <c r="M6" s="119"/>
      <c r="N6" s="105"/>
      <c r="O6" s="105"/>
      <c r="P6" s="110"/>
      <c r="Q6" s="117"/>
      <c r="R6" s="105"/>
      <c r="S6" s="3"/>
    </row>
    <row r="7" spans="1:23" ht="15" customHeight="1">
      <c r="A7" s="143"/>
      <c r="B7" s="6" t="s">
        <v>237</v>
      </c>
      <c r="C7" s="6" t="s">
        <v>173</v>
      </c>
      <c r="D7" s="7" t="s">
        <v>238</v>
      </c>
      <c r="E7" s="27">
        <v>45219</v>
      </c>
      <c r="F7" s="7" t="s">
        <v>239</v>
      </c>
      <c r="G7" s="9">
        <v>275000</v>
      </c>
      <c r="H7" s="10">
        <f>G7*0.19</f>
        <v>52250</v>
      </c>
      <c r="I7" s="10">
        <f>G7+H7</f>
        <v>327250</v>
      </c>
      <c r="J7" s="10">
        <f>G7*0.025</f>
        <v>6875</v>
      </c>
      <c r="K7" s="10">
        <f>G7*11.04/1000</f>
        <v>3035.9999999999995</v>
      </c>
      <c r="L7" s="10">
        <f>H7*0.15</f>
        <v>7837.5</v>
      </c>
      <c r="M7" s="58">
        <v>5145</v>
      </c>
      <c r="N7" s="10">
        <f>SUM(J7:M7)</f>
        <v>22893.5</v>
      </c>
      <c r="O7" s="10">
        <f>+I7-N7</f>
        <v>304356.5</v>
      </c>
      <c r="P7" s="57">
        <v>45254</v>
      </c>
      <c r="Q7" s="6" t="s">
        <v>24</v>
      </c>
      <c r="R7" s="9">
        <v>304357</v>
      </c>
      <c r="S7" s="10">
        <f>+O7-R7</f>
        <v>-0.5</v>
      </c>
      <c r="T7" s="6" t="s">
        <v>25</v>
      </c>
    </row>
    <row r="8" spans="1:23" ht="15.75" customHeight="1">
      <c r="A8" s="143"/>
      <c r="B8" s="6" t="s">
        <v>240</v>
      </c>
      <c r="C8" s="6" t="s">
        <v>173</v>
      </c>
      <c r="D8" s="7" t="s">
        <v>238</v>
      </c>
      <c r="E8" s="8">
        <v>45219</v>
      </c>
      <c r="F8" s="7" t="s">
        <v>239</v>
      </c>
      <c r="G8" s="9">
        <v>3300000</v>
      </c>
      <c r="H8" s="10">
        <f>G8*0.19</f>
        <v>627000</v>
      </c>
      <c r="I8" s="10">
        <f>G8+H8</f>
        <v>3927000</v>
      </c>
      <c r="J8" s="10">
        <f>G8*0.025</f>
        <v>82500</v>
      </c>
      <c r="K8" s="10">
        <f>G8*11.04/1000</f>
        <v>36432</v>
      </c>
      <c r="L8" s="10">
        <f>H8*0.15</f>
        <v>94050</v>
      </c>
      <c r="M8" s="58">
        <v>61740</v>
      </c>
      <c r="N8" s="10">
        <f>SUM(J8:M8)</f>
        <v>274722</v>
      </c>
      <c r="O8" s="10">
        <f>+I8-N8</f>
        <v>3652278</v>
      </c>
      <c r="P8" s="57">
        <v>45254</v>
      </c>
      <c r="Q8" s="6" t="s">
        <v>24</v>
      </c>
      <c r="R8" s="9">
        <v>3652278</v>
      </c>
      <c r="S8" s="10">
        <f>+O8-R8</f>
        <v>0</v>
      </c>
      <c r="T8" s="6" t="s">
        <v>25</v>
      </c>
    </row>
    <row r="9" spans="1:23" ht="15.75" customHeight="1">
      <c r="A9" s="143"/>
      <c r="B9" s="6" t="s">
        <v>250</v>
      </c>
      <c r="C9" s="6" t="s">
        <v>173</v>
      </c>
      <c r="D9" s="7" t="s">
        <v>238</v>
      </c>
      <c r="E9" s="8">
        <v>45219</v>
      </c>
      <c r="F9" s="7" t="s">
        <v>251</v>
      </c>
      <c r="G9" s="9">
        <v>1400000</v>
      </c>
      <c r="H9" s="10">
        <f>G9*0.19</f>
        <v>266000</v>
      </c>
      <c r="I9" s="10">
        <f>G9+H9</f>
        <v>1666000</v>
      </c>
      <c r="J9" s="10">
        <f>G9*0.025</f>
        <v>35000</v>
      </c>
      <c r="K9" s="10">
        <f>G9*11.04/1000</f>
        <v>15455.999999999998</v>
      </c>
      <c r="L9" s="10">
        <f>H9*0.15</f>
        <v>39900</v>
      </c>
      <c r="M9" s="58">
        <v>26193</v>
      </c>
      <c r="N9" s="10">
        <f>SUM(J9:M9)</f>
        <v>116549</v>
      </c>
      <c r="O9" s="10">
        <f>+I9-N9</f>
        <v>1549451</v>
      </c>
      <c r="P9" s="57">
        <v>45254</v>
      </c>
      <c r="Q9" s="6" t="s">
        <v>24</v>
      </c>
      <c r="R9" s="9">
        <v>1549451</v>
      </c>
      <c r="S9" s="10">
        <f>+O9-R9</f>
        <v>0</v>
      </c>
      <c r="T9" s="6" t="s">
        <v>25</v>
      </c>
    </row>
    <row r="10" spans="1:23" ht="15.75" customHeight="1">
      <c r="A10" s="143"/>
      <c r="B10" s="6" t="s">
        <v>286</v>
      </c>
      <c r="C10" s="6" t="s">
        <v>173</v>
      </c>
      <c r="D10" s="7" t="s">
        <v>238</v>
      </c>
      <c r="E10" s="8">
        <v>45280</v>
      </c>
      <c r="F10" s="108" t="s">
        <v>82</v>
      </c>
      <c r="G10" s="49">
        <v>2000000</v>
      </c>
      <c r="H10" s="10">
        <f>G10*0.19</f>
        <v>380000</v>
      </c>
      <c r="I10" s="10">
        <f>G10+H10</f>
        <v>2380000</v>
      </c>
      <c r="J10" s="10">
        <f>G10*0.025</f>
        <v>50000</v>
      </c>
      <c r="K10" s="10">
        <f>G10*11.04/1000</f>
        <v>22080</v>
      </c>
      <c r="L10" s="10">
        <f>H10*0.15</f>
        <v>57000</v>
      </c>
      <c r="M10" s="58">
        <v>37418</v>
      </c>
      <c r="N10" s="10">
        <f>SUM(J10:M10)</f>
        <v>166498</v>
      </c>
      <c r="O10" s="10">
        <f>+I10-N10</f>
        <v>2213502</v>
      </c>
      <c r="P10" s="57">
        <v>45317</v>
      </c>
      <c r="Q10" s="6" t="s">
        <v>24</v>
      </c>
      <c r="R10" s="9">
        <v>2213502</v>
      </c>
      <c r="S10" s="10">
        <f>+O10-R10</f>
        <v>0</v>
      </c>
      <c r="T10" s="6" t="s">
        <v>25</v>
      </c>
      <c r="U10" s="3"/>
    </row>
    <row r="11" spans="1:23" ht="15.75" customHeight="1">
      <c r="A11" s="143"/>
      <c r="B11" s="6" t="s">
        <v>172</v>
      </c>
      <c r="C11" s="6" t="s">
        <v>173</v>
      </c>
      <c r="D11" s="7" t="s">
        <v>174</v>
      </c>
      <c r="E11" s="8">
        <v>45144</v>
      </c>
      <c r="F11" s="7" t="s">
        <v>147</v>
      </c>
      <c r="G11" s="9">
        <v>2735005</v>
      </c>
      <c r="H11" s="10">
        <f>G11*0.19</f>
        <v>519650.95</v>
      </c>
      <c r="I11" s="10">
        <f>G11+H11</f>
        <v>3254655.95</v>
      </c>
      <c r="J11" s="10">
        <f>G11*0.025</f>
        <v>68375.125</v>
      </c>
      <c r="K11" s="10">
        <f>G11*11.04/1000</f>
        <v>30194.4552</v>
      </c>
      <c r="L11" s="10">
        <f>H11*0.15</f>
        <v>77947.642500000002</v>
      </c>
      <c r="M11" s="58">
        <v>51170</v>
      </c>
      <c r="N11" s="10">
        <f>SUM(J11:M11)</f>
        <v>227687.22269999998</v>
      </c>
      <c r="O11" s="10">
        <f>+I11-N11</f>
        <v>3026968.7273000004</v>
      </c>
      <c r="P11" s="57">
        <v>45184</v>
      </c>
      <c r="Q11" s="6" t="s">
        <v>24</v>
      </c>
      <c r="R11" s="9">
        <v>3026969</v>
      </c>
      <c r="S11" s="10">
        <f>+O11-R11</f>
        <v>-0.27269999962300062</v>
      </c>
      <c r="T11" s="6" t="s">
        <v>25</v>
      </c>
    </row>
    <row r="12" spans="1:23" ht="15.75" customHeight="1">
      <c r="A12" s="143"/>
      <c r="B12" s="6"/>
      <c r="C12" s="6" t="s">
        <v>173</v>
      </c>
      <c r="D12" s="7" t="s">
        <v>174</v>
      </c>
      <c r="E12" s="8"/>
      <c r="F12" s="7"/>
      <c r="G12" s="78">
        <f>SUM(G7:G11)</f>
        <v>9710005</v>
      </c>
      <c r="H12" s="78">
        <f t="shared" ref="H12:T12" si="0">SUM(H7:H11)</f>
        <v>1844900.95</v>
      </c>
      <c r="I12" s="78">
        <f t="shared" si="0"/>
        <v>11554905.949999999</v>
      </c>
      <c r="J12" s="78">
        <f t="shared" si="0"/>
        <v>242750.125</v>
      </c>
      <c r="K12" s="78">
        <f t="shared" si="0"/>
        <v>107198.4552</v>
      </c>
      <c r="L12" s="78">
        <f t="shared" si="0"/>
        <v>276735.14250000002</v>
      </c>
      <c r="M12" s="78">
        <f t="shared" si="0"/>
        <v>181666</v>
      </c>
      <c r="N12" s="78">
        <f t="shared" si="0"/>
        <v>808349.72270000004</v>
      </c>
      <c r="O12" s="78">
        <f t="shared" si="0"/>
        <v>10746556.227299999</v>
      </c>
      <c r="P12" s="78">
        <f t="shared" si="0"/>
        <v>226263</v>
      </c>
      <c r="Q12" s="78">
        <f t="shared" si="0"/>
        <v>0</v>
      </c>
      <c r="R12" s="78">
        <f t="shared" si="0"/>
        <v>10746557</v>
      </c>
      <c r="S12" s="78">
        <f t="shared" si="0"/>
        <v>-0.77269999962300062</v>
      </c>
      <c r="T12" s="78">
        <f t="shared" si="0"/>
        <v>0</v>
      </c>
    </row>
    <row r="13" spans="1:23" ht="15.75" customHeight="1">
      <c r="A13" s="143"/>
      <c r="B13" s="6"/>
      <c r="C13" s="6"/>
      <c r="D13" s="7"/>
      <c r="E13" s="8"/>
      <c r="F13" s="7"/>
      <c r="G13" s="9"/>
      <c r="H13" s="10"/>
      <c r="I13" s="10"/>
      <c r="J13" s="10"/>
      <c r="K13" s="10"/>
      <c r="L13" s="10"/>
      <c r="M13" s="58"/>
      <c r="N13" s="10"/>
      <c r="O13" s="10"/>
      <c r="P13" s="57"/>
      <c r="Q13" s="6"/>
      <c r="R13" s="9"/>
      <c r="S13" s="10"/>
      <c r="T13" s="6"/>
    </row>
    <row r="14" spans="1:23" ht="15.75" customHeight="1">
      <c r="A14" s="143"/>
      <c r="B14" s="6" t="s">
        <v>50</v>
      </c>
      <c r="C14" s="6" t="s">
        <v>21</v>
      </c>
      <c r="D14" s="7" t="s">
        <v>47</v>
      </c>
      <c r="E14" s="8">
        <v>44936</v>
      </c>
      <c r="F14" s="7" t="s">
        <v>51</v>
      </c>
      <c r="G14" s="9">
        <v>1400000</v>
      </c>
      <c r="H14" s="9">
        <f t="shared" ref="H14:H45" si="1">G14*0.19</f>
        <v>266000</v>
      </c>
      <c r="I14" s="9">
        <f t="shared" ref="I14:I45" si="2">G14+H14</f>
        <v>1666000</v>
      </c>
      <c r="J14" s="9">
        <f>G14*0.04</f>
        <v>56000</v>
      </c>
      <c r="K14" s="49">
        <f>G14*11.04/1000</f>
        <v>15455.999999999998</v>
      </c>
      <c r="L14" s="9">
        <f>H14*0.15</f>
        <v>39900</v>
      </c>
      <c r="M14" s="58">
        <v>0</v>
      </c>
      <c r="N14" s="9">
        <f t="shared" ref="N14:N45" si="3">SUM(J14:M14)</f>
        <v>111356</v>
      </c>
      <c r="O14" s="9">
        <f t="shared" ref="O14:O45" si="4">+I14-N14</f>
        <v>1554644</v>
      </c>
      <c r="P14" s="57">
        <v>44988</v>
      </c>
      <c r="Q14" s="40" t="s">
        <v>24</v>
      </c>
      <c r="R14" s="9">
        <v>1554644</v>
      </c>
      <c r="S14" s="10">
        <f t="shared" ref="S14:S45" si="5">+O14-R14</f>
        <v>0</v>
      </c>
      <c r="T14" s="6" t="s">
        <v>25</v>
      </c>
    </row>
    <row r="15" spans="1:23" ht="15.75" customHeight="1">
      <c r="A15" s="143"/>
      <c r="B15" s="6" t="s">
        <v>52</v>
      </c>
      <c r="C15" s="6" t="s">
        <v>21</v>
      </c>
      <c r="D15" s="7" t="s">
        <v>47</v>
      </c>
      <c r="E15" s="8">
        <v>44949</v>
      </c>
      <c r="F15" s="7" t="s">
        <v>53</v>
      </c>
      <c r="G15" s="9">
        <v>1520000</v>
      </c>
      <c r="H15" s="10">
        <f t="shared" si="1"/>
        <v>288800</v>
      </c>
      <c r="I15" s="10">
        <f t="shared" si="2"/>
        <v>1808800</v>
      </c>
      <c r="J15" s="10">
        <f>G15*0.025</f>
        <v>38000</v>
      </c>
      <c r="K15" s="10">
        <f>G15*11.04/1000</f>
        <v>16780.8</v>
      </c>
      <c r="L15" s="10">
        <f>H15*0.15</f>
        <v>43320</v>
      </c>
      <c r="M15" s="58">
        <v>0</v>
      </c>
      <c r="N15" s="10">
        <f t="shared" si="3"/>
        <v>98100.800000000003</v>
      </c>
      <c r="O15" s="10">
        <f t="shared" si="4"/>
        <v>1710699.2</v>
      </c>
      <c r="P15" s="57">
        <v>45002</v>
      </c>
      <c r="Q15" s="40" t="s">
        <v>24</v>
      </c>
      <c r="R15" s="9">
        <v>1710699</v>
      </c>
      <c r="S15" s="10">
        <f t="shared" si="5"/>
        <v>0.19999999995343387</v>
      </c>
      <c r="T15" s="6" t="s">
        <v>25</v>
      </c>
    </row>
    <row r="16" spans="1:23" ht="15.75" customHeight="1">
      <c r="A16" s="143"/>
      <c r="B16" s="6" t="s">
        <v>54</v>
      </c>
      <c r="C16" s="6" t="s">
        <v>21</v>
      </c>
      <c r="D16" s="7" t="s">
        <v>47</v>
      </c>
      <c r="E16" s="8">
        <v>44949</v>
      </c>
      <c r="F16" s="7" t="s">
        <v>55</v>
      </c>
      <c r="G16" s="9">
        <v>900000</v>
      </c>
      <c r="H16" s="10">
        <f t="shared" si="1"/>
        <v>171000</v>
      </c>
      <c r="I16" s="10">
        <f t="shared" si="2"/>
        <v>1071000</v>
      </c>
      <c r="J16" s="10">
        <f>G16*0.025</f>
        <v>22500</v>
      </c>
      <c r="K16" s="10">
        <f>G16*11.04/1000</f>
        <v>9936</v>
      </c>
      <c r="L16" s="10">
        <f>H16*0.15</f>
        <v>25650</v>
      </c>
      <c r="M16" s="58">
        <v>16838</v>
      </c>
      <c r="N16" s="10">
        <f t="shared" si="3"/>
        <v>74924</v>
      </c>
      <c r="O16" s="10">
        <f t="shared" si="4"/>
        <v>996076</v>
      </c>
      <c r="P16" s="57">
        <v>44988</v>
      </c>
      <c r="Q16" s="40" t="s">
        <v>24</v>
      </c>
      <c r="R16" s="9">
        <v>996076</v>
      </c>
      <c r="S16" s="10">
        <f t="shared" si="5"/>
        <v>0</v>
      </c>
      <c r="T16" s="6" t="s">
        <v>25</v>
      </c>
    </row>
    <row r="17" spans="1:21">
      <c r="A17" s="143"/>
      <c r="B17" s="111" t="s">
        <v>56</v>
      </c>
      <c r="C17" s="111" t="s">
        <v>21</v>
      </c>
      <c r="D17" s="112" t="s">
        <v>47</v>
      </c>
      <c r="E17" s="113">
        <v>44949</v>
      </c>
      <c r="F17" s="112" t="s">
        <v>57</v>
      </c>
      <c r="G17" s="114">
        <v>1070000</v>
      </c>
      <c r="H17" s="115">
        <f t="shared" si="1"/>
        <v>203300</v>
      </c>
      <c r="I17" s="115">
        <f t="shared" si="2"/>
        <v>1273300</v>
      </c>
      <c r="J17" s="115"/>
      <c r="K17" s="115"/>
      <c r="L17" s="115"/>
      <c r="M17" s="116">
        <v>0</v>
      </c>
      <c r="N17" s="115">
        <f t="shared" si="3"/>
        <v>0</v>
      </c>
      <c r="O17" s="115">
        <f t="shared" si="4"/>
        <v>1273300</v>
      </c>
      <c r="P17" s="112"/>
      <c r="Q17" s="111"/>
      <c r="R17" s="114"/>
      <c r="S17" s="115">
        <f t="shared" si="5"/>
        <v>1273300</v>
      </c>
      <c r="T17" s="111" t="s">
        <v>58</v>
      </c>
    </row>
    <row r="18" spans="1:21">
      <c r="A18" s="143"/>
      <c r="B18" s="111" t="s">
        <v>59</v>
      </c>
      <c r="C18" s="111" t="s">
        <v>21</v>
      </c>
      <c r="D18" s="112" t="s">
        <v>47</v>
      </c>
      <c r="E18" s="113">
        <v>44949</v>
      </c>
      <c r="F18" s="112" t="s">
        <v>60</v>
      </c>
      <c r="G18" s="114">
        <v>840000</v>
      </c>
      <c r="H18" s="115">
        <f t="shared" si="1"/>
        <v>159600</v>
      </c>
      <c r="I18" s="115">
        <f t="shared" si="2"/>
        <v>999600</v>
      </c>
      <c r="J18" s="115"/>
      <c r="K18" s="115"/>
      <c r="L18" s="115"/>
      <c r="M18" s="116">
        <v>0</v>
      </c>
      <c r="N18" s="115">
        <f t="shared" si="3"/>
        <v>0</v>
      </c>
      <c r="O18" s="115">
        <f t="shared" si="4"/>
        <v>999600</v>
      </c>
      <c r="P18" s="112"/>
      <c r="Q18" s="111"/>
      <c r="R18" s="114"/>
      <c r="S18" s="115">
        <f t="shared" si="5"/>
        <v>999600</v>
      </c>
      <c r="T18" s="111" t="s">
        <v>58</v>
      </c>
    </row>
    <row r="19" spans="1:21">
      <c r="A19" s="143"/>
      <c r="B19" s="6" t="s">
        <v>61</v>
      </c>
      <c r="C19" s="6" t="s">
        <v>21</v>
      </c>
      <c r="D19" s="7" t="s">
        <v>47</v>
      </c>
      <c r="E19" s="8">
        <v>44949</v>
      </c>
      <c r="F19" s="7" t="s">
        <v>62</v>
      </c>
      <c r="G19" s="9">
        <v>380000</v>
      </c>
      <c r="H19" s="10">
        <f t="shared" si="1"/>
        <v>72200</v>
      </c>
      <c r="I19" s="10">
        <f t="shared" si="2"/>
        <v>452200</v>
      </c>
      <c r="J19" s="10">
        <f>G19*0.04</f>
        <v>15200</v>
      </c>
      <c r="K19" s="10">
        <f t="shared" ref="K19:K28" si="6">G19*11.04/1000</f>
        <v>4195.2</v>
      </c>
      <c r="L19" s="10">
        <f t="shared" ref="L19:L35" si="7">H19*0.15</f>
        <v>10830</v>
      </c>
      <c r="M19" s="58">
        <v>0</v>
      </c>
      <c r="N19" s="10">
        <f t="shared" si="3"/>
        <v>30225.200000000001</v>
      </c>
      <c r="O19" s="10">
        <f t="shared" si="4"/>
        <v>421974.8</v>
      </c>
      <c r="P19" s="57">
        <v>45002</v>
      </c>
      <c r="Q19" s="40" t="s">
        <v>24</v>
      </c>
      <c r="R19" s="9">
        <v>421975</v>
      </c>
      <c r="S19" s="10">
        <f t="shared" si="5"/>
        <v>-0.20000000001164153</v>
      </c>
      <c r="T19" s="6" t="s">
        <v>25</v>
      </c>
    </row>
    <row r="20" spans="1:21">
      <c r="B20" s="1" t="s">
        <v>63</v>
      </c>
      <c r="C20" s="1" t="s">
        <v>21</v>
      </c>
      <c r="D20" t="s">
        <v>47</v>
      </c>
      <c r="E20" s="5">
        <v>44953</v>
      </c>
      <c r="F20" t="s">
        <v>64</v>
      </c>
      <c r="G20" s="107">
        <v>680000</v>
      </c>
      <c r="H20" s="3">
        <f t="shared" si="1"/>
        <v>129200</v>
      </c>
      <c r="I20" s="3">
        <f t="shared" si="2"/>
        <v>809200</v>
      </c>
      <c r="J20" s="3">
        <f>G20*0.04</f>
        <v>27200</v>
      </c>
      <c r="K20" s="3">
        <f t="shared" si="6"/>
        <v>7507.1999999999989</v>
      </c>
      <c r="L20" s="3">
        <f t="shared" si="7"/>
        <v>19380</v>
      </c>
      <c r="M20" s="106">
        <v>0</v>
      </c>
      <c r="N20" s="3">
        <f t="shared" si="3"/>
        <v>54087.199999999997</v>
      </c>
      <c r="O20" s="3">
        <f t="shared" si="4"/>
        <v>755112.8</v>
      </c>
      <c r="P20" s="110">
        <v>45009</v>
      </c>
      <c r="Q20" s="117" t="s">
        <v>24</v>
      </c>
      <c r="R20" s="107">
        <v>755113</v>
      </c>
      <c r="S20" s="3">
        <f t="shared" si="5"/>
        <v>-0.19999999995343387</v>
      </c>
      <c r="T20" s="1" t="s">
        <v>25</v>
      </c>
    </row>
    <row r="21" spans="1:21">
      <c r="A21" s="143"/>
      <c r="B21" s="6" t="s">
        <v>65</v>
      </c>
      <c r="C21" s="6" t="s">
        <v>21</v>
      </c>
      <c r="D21" s="7" t="s">
        <v>47</v>
      </c>
      <c r="E21" s="8">
        <v>44953</v>
      </c>
      <c r="F21" s="7" t="s">
        <v>66</v>
      </c>
      <c r="G21" s="9">
        <v>8400000</v>
      </c>
      <c r="H21" s="10">
        <f t="shared" si="1"/>
        <v>1596000</v>
      </c>
      <c r="I21" s="10">
        <f t="shared" si="2"/>
        <v>9996000</v>
      </c>
      <c r="J21" s="10">
        <f>G21*0.04</f>
        <v>336000</v>
      </c>
      <c r="K21" s="10">
        <f t="shared" si="6"/>
        <v>92736</v>
      </c>
      <c r="L21" s="10">
        <f t="shared" si="7"/>
        <v>239400</v>
      </c>
      <c r="M21" s="58">
        <v>0</v>
      </c>
      <c r="N21" s="10">
        <f t="shared" si="3"/>
        <v>668136</v>
      </c>
      <c r="O21" s="10">
        <f t="shared" si="4"/>
        <v>9327864</v>
      </c>
      <c r="P21" s="57">
        <v>45026</v>
      </c>
      <c r="Q21" s="40" t="s">
        <v>24</v>
      </c>
      <c r="R21" s="9">
        <v>9327864</v>
      </c>
      <c r="S21" s="10">
        <f t="shared" si="5"/>
        <v>0</v>
      </c>
      <c r="T21" s="6" t="s">
        <v>25</v>
      </c>
    </row>
    <row r="22" spans="1:21">
      <c r="A22" s="143"/>
      <c r="B22" s="6" t="s">
        <v>67</v>
      </c>
      <c r="C22" s="6" t="s">
        <v>21</v>
      </c>
      <c r="D22" s="7" t="s">
        <v>47</v>
      </c>
      <c r="E22" s="8">
        <v>44953</v>
      </c>
      <c r="F22" s="7" t="s">
        <v>60</v>
      </c>
      <c r="G22" s="9">
        <v>420000</v>
      </c>
      <c r="H22" s="10">
        <f t="shared" si="1"/>
        <v>79800</v>
      </c>
      <c r="I22" s="10">
        <f t="shared" si="2"/>
        <v>499800</v>
      </c>
      <c r="J22" s="10">
        <f>G22*0.025</f>
        <v>10500</v>
      </c>
      <c r="K22" s="10">
        <f t="shared" si="6"/>
        <v>4636.8</v>
      </c>
      <c r="L22" s="10">
        <f t="shared" si="7"/>
        <v>11970</v>
      </c>
      <c r="M22" s="58">
        <v>0</v>
      </c>
      <c r="N22" s="10">
        <f t="shared" si="3"/>
        <v>27106.799999999999</v>
      </c>
      <c r="O22" s="10">
        <f t="shared" si="4"/>
        <v>472693.2</v>
      </c>
      <c r="P22" s="57">
        <v>45009</v>
      </c>
      <c r="Q22" s="40" t="s">
        <v>24</v>
      </c>
      <c r="R22" s="9">
        <v>472693</v>
      </c>
      <c r="S22" s="10">
        <f t="shared" si="5"/>
        <v>0.20000000001164153</v>
      </c>
      <c r="T22" s="6" t="s">
        <v>25</v>
      </c>
    </row>
    <row r="23" spans="1:21">
      <c r="A23" s="143"/>
      <c r="B23" s="6" t="s">
        <v>68</v>
      </c>
      <c r="C23" s="6" t="s">
        <v>21</v>
      </c>
      <c r="D23" s="7" t="s">
        <v>47</v>
      </c>
      <c r="E23" s="8">
        <v>44956</v>
      </c>
      <c r="F23" s="7" t="s">
        <v>69</v>
      </c>
      <c r="G23" s="9">
        <v>1160000</v>
      </c>
      <c r="H23" s="10">
        <f t="shared" si="1"/>
        <v>220400</v>
      </c>
      <c r="I23" s="10">
        <f t="shared" si="2"/>
        <v>1380400</v>
      </c>
      <c r="J23" s="10">
        <f>G23*0.025</f>
        <v>29000</v>
      </c>
      <c r="K23" s="10">
        <f t="shared" si="6"/>
        <v>12806.399999999998</v>
      </c>
      <c r="L23" s="10">
        <f t="shared" si="7"/>
        <v>33060</v>
      </c>
      <c r="M23" s="58">
        <v>21703</v>
      </c>
      <c r="N23" s="10">
        <f t="shared" si="3"/>
        <v>96569.4</v>
      </c>
      <c r="O23" s="10">
        <f t="shared" si="4"/>
        <v>1283830.6000000001</v>
      </c>
      <c r="P23" s="57">
        <v>44995</v>
      </c>
      <c r="Q23" s="40" t="s">
        <v>24</v>
      </c>
      <c r="R23" s="9">
        <v>1283831</v>
      </c>
      <c r="S23" s="10">
        <f t="shared" si="5"/>
        <v>-0.39999999990686774</v>
      </c>
      <c r="T23" s="6" t="s">
        <v>25</v>
      </c>
    </row>
    <row r="24" spans="1:21">
      <c r="A24" s="143"/>
      <c r="B24" s="6" t="s">
        <v>71</v>
      </c>
      <c r="C24" s="6" t="s">
        <v>21</v>
      </c>
      <c r="D24" s="7" t="s">
        <v>47</v>
      </c>
      <c r="E24" s="8">
        <v>44961</v>
      </c>
      <c r="F24" s="7" t="s">
        <v>72</v>
      </c>
      <c r="G24" s="9">
        <v>310000</v>
      </c>
      <c r="H24" s="10">
        <f t="shared" si="1"/>
        <v>58900</v>
      </c>
      <c r="I24" s="10">
        <f t="shared" si="2"/>
        <v>368900</v>
      </c>
      <c r="J24" s="10">
        <f>G24*0.04</f>
        <v>12400</v>
      </c>
      <c r="K24" s="10">
        <f t="shared" si="6"/>
        <v>3422.3999999999996</v>
      </c>
      <c r="L24" s="10">
        <f t="shared" si="7"/>
        <v>8835</v>
      </c>
      <c r="M24" s="58">
        <v>0</v>
      </c>
      <c r="N24" s="10">
        <f t="shared" si="3"/>
        <v>24657.4</v>
      </c>
      <c r="O24" s="10">
        <f t="shared" si="4"/>
        <v>344242.6</v>
      </c>
      <c r="P24" s="57">
        <v>45002</v>
      </c>
      <c r="Q24" s="40" t="s">
        <v>24</v>
      </c>
      <c r="R24" s="9">
        <v>344243</v>
      </c>
      <c r="S24" s="10">
        <f t="shared" si="5"/>
        <v>-0.40000000002328306</v>
      </c>
      <c r="T24" s="6" t="s">
        <v>25</v>
      </c>
      <c r="U24" s="3"/>
    </row>
    <row r="25" spans="1:21">
      <c r="A25" s="143"/>
      <c r="B25" s="6" t="s">
        <v>73</v>
      </c>
      <c r="C25" s="6" t="s">
        <v>21</v>
      </c>
      <c r="D25" s="7" t="s">
        <v>47</v>
      </c>
      <c r="E25" s="8">
        <v>44963</v>
      </c>
      <c r="F25" s="7" t="s">
        <v>74</v>
      </c>
      <c r="G25" s="9">
        <v>4800000</v>
      </c>
      <c r="H25" s="10">
        <f t="shared" si="1"/>
        <v>912000</v>
      </c>
      <c r="I25" s="10">
        <f t="shared" si="2"/>
        <v>5712000</v>
      </c>
      <c r="J25" s="10">
        <f>G25*0.04</f>
        <v>192000</v>
      </c>
      <c r="K25" s="10">
        <f t="shared" si="6"/>
        <v>52991.999999999993</v>
      </c>
      <c r="L25" s="10">
        <f t="shared" si="7"/>
        <v>136800</v>
      </c>
      <c r="M25" s="58">
        <v>0</v>
      </c>
      <c r="N25" s="10">
        <f t="shared" si="3"/>
        <v>381792</v>
      </c>
      <c r="O25" s="10">
        <f t="shared" si="4"/>
        <v>5330208</v>
      </c>
      <c r="P25" s="57">
        <v>45016</v>
      </c>
      <c r="Q25" s="40" t="s">
        <v>24</v>
      </c>
      <c r="R25" s="9">
        <v>5330208</v>
      </c>
      <c r="S25" s="10">
        <f t="shared" si="5"/>
        <v>0</v>
      </c>
      <c r="T25" s="6" t="s">
        <v>25</v>
      </c>
    </row>
    <row r="26" spans="1:21">
      <c r="A26" s="143"/>
      <c r="B26" s="6" t="s">
        <v>75</v>
      </c>
      <c r="C26" s="6" t="s">
        <v>21</v>
      </c>
      <c r="D26" s="7" t="s">
        <v>47</v>
      </c>
      <c r="E26" s="8">
        <v>44963</v>
      </c>
      <c r="F26" s="7" t="s">
        <v>76</v>
      </c>
      <c r="G26" s="9">
        <v>500000</v>
      </c>
      <c r="H26" s="10">
        <f t="shared" si="1"/>
        <v>95000</v>
      </c>
      <c r="I26" s="10">
        <f t="shared" si="2"/>
        <v>595000</v>
      </c>
      <c r="J26" s="10">
        <f>G26*0.04</f>
        <v>20000</v>
      </c>
      <c r="K26" s="10">
        <f t="shared" si="6"/>
        <v>5520</v>
      </c>
      <c r="L26" s="10">
        <f t="shared" si="7"/>
        <v>14250</v>
      </c>
      <c r="M26" s="58">
        <v>0</v>
      </c>
      <c r="N26" s="10">
        <f t="shared" si="3"/>
        <v>39770</v>
      </c>
      <c r="O26" s="10">
        <f t="shared" si="4"/>
        <v>555230</v>
      </c>
      <c r="P26" s="57">
        <v>45002</v>
      </c>
      <c r="Q26" s="40" t="s">
        <v>24</v>
      </c>
      <c r="R26" s="9">
        <v>555230</v>
      </c>
      <c r="S26" s="10">
        <f t="shared" si="5"/>
        <v>0</v>
      </c>
      <c r="T26" s="6" t="s">
        <v>25</v>
      </c>
    </row>
    <row r="27" spans="1:21">
      <c r="A27" s="143"/>
      <c r="B27" s="6" t="s">
        <v>81</v>
      </c>
      <c r="C27" s="6" t="s">
        <v>21</v>
      </c>
      <c r="D27" s="7" t="s">
        <v>47</v>
      </c>
      <c r="E27" s="8">
        <v>44970</v>
      </c>
      <c r="F27" s="7" t="s">
        <v>82</v>
      </c>
      <c r="G27" s="9">
        <v>4000000</v>
      </c>
      <c r="H27" s="10">
        <f t="shared" si="1"/>
        <v>760000</v>
      </c>
      <c r="I27" s="10">
        <f t="shared" si="2"/>
        <v>4760000</v>
      </c>
      <c r="J27" s="10">
        <f>G27*0.025</f>
        <v>100000</v>
      </c>
      <c r="K27" s="10">
        <f t="shared" si="6"/>
        <v>44160</v>
      </c>
      <c r="L27" s="10">
        <f t="shared" si="7"/>
        <v>114000</v>
      </c>
      <c r="M27" s="58">
        <v>0</v>
      </c>
      <c r="N27" s="10">
        <f t="shared" si="3"/>
        <v>258160</v>
      </c>
      <c r="O27" s="10">
        <f t="shared" si="4"/>
        <v>4501840</v>
      </c>
      <c r="P27" s="57">
        <v>45026</v>
      </c>
      <c r="Q27" s="40" t="s">
        <v>24</v>
      </c>
      <c r="R27" s="9">
        <v>4501840</v>
      </c>
      <c r="S27" s="10">
        <f t="shared" si="5"/>
        <v>0</v>
      </c>
      <c r="T27" s="6" t="s">
        <v>25</v>
      </c>
    </row>
    <row r="28" spans="1:21">
      <c r="A28" s="143"/>
      <c r="B28" s="6" t="s">
        <v>83</v>
      </c>
      <c r="C28" s="6" t="s">
        <v>21</v>
      </c>
      <c r="D28" s="7" t="s">
        <v>47</v>
      </c>
      <c r="E28" s="8">
        <v>44970</v>
      </c>
      <c r="F28" s="7" t="s">
        <v>84</v>
      </c>
      <c r="G28" s="9">
        <v>880000</v>
      </c>
      <c r="H28" s="10">
        <f t="shared" si="1"/>
        <v>167200</v>
      </c>
      <c r="I28" s="10">
        <f t="shared" si="2"/>
        <v>1047200</v>
      </c>
      <c r="J28" s="10">
        <f>G28*0.04</f>
        <v>35200</v>
      </c>
      <c r="K28" s="10">
        <f t="shared" si="6"/>
        <v>9715.2000000000007</v>
      </c>
      <c r="L28" s="10">
        <f t="shared" si="7"/>
        <v>25080</v>
      </c>
      <c r="M28" s="58">
        <v>0</v>
      </c>
      <c r="N28" s="10">
        <f t="shared" si="3"/>
        <v>69995.199999999997</v>
      </c>
      <c r="O28" s="10">
        <f t="shared" si="4"/>
        <v>977204.8</v>
      </c>
      <c r="P28" s="57">
        <v>45026</v>
      </c>
      <c r="Q28" s="40" t="s">
        <v>24</v>
      </c>
      <c r="R28" s="9">
        <v>977205</v>
      </c>
      <c r="S28" s="10">
        <f t="shared" si="5"/>
        <v>-0.19999999995343387</v>
      </c>
      <c r="T28" s="6" t="s">
        <v>25</v>
      </c>
      <c r="U28" t="s">
        <v>89</v>
      </c>
    </row>
    <row r="29" spans="1:21">
      <c r="A29" s="143"/>
      <c r="B29" s="6" t="s">
        <v>85</v>
      </c>
      <c r="C29" s="6" t="s">
        <v>21</v>
      </c>
      <c r="D29" s="7" t="s">
        <v>47</v>
      </c>
      <c r="E29" s="8">
        <v>44974</v>
      </c>
      <c r="F29" s="7" t="s">
        <v>86</v>
      </c>
      <c r="G29" s="9">
        <v>3000000</v>
      </c>
      <c r="H29" s="10">
        <f t="shared" si="1"/>
        <v>570000</v>
      </c>
      <c r="I29" s="10">
        <f t="shared" si="2"/>
        <v>3570000</v>
      </c>
      <c r="J29" s="10"/>
      <c r="K29" s="10"/>
      <c r="L29" s="10">
        <f t="shared" si="7"/>
        <v>85500</v>
      </c>
      <c r="M29" s="58">
        <v>0</v>
      </c>
      <c r="N29" s="10">
        <f t="shared" si="3"/>
        <v>85500</v>
      </c>
      <c r="O29" s="10">
        <f t="shared" si="4"/>
        <v>3484500</v>
      </c>
      <c r="P29" s="57">
        <v>45065</v>
      </c>
      <c r="Q29" s="40" t="s">
        <v>24</v>
      </c>
      <c r="R29" s="9">
        <v>3484500</v>
      </c>
      <c r="S29" s="10">
        <f t="shared" si="5"/>
        <v>0</v>
      </c>
      <c r="T29" s="6" t="s">
        <v>25</v>
      </c>
    </row>
    <row r="30" spans="1:21">
      <c r="B30" s="1" t="s">
        <v>87</v>
      </c>
      <c r="C30" s="1" t="s">
        <v>21</v>
      </c>
      <c r="D30" t="s">
        <v>47</v>
      </c>
      <c r="E30" s="5">
        <v>44977</v>
      </c>
      <c r="F30" t="s">
        <v>88</v>
      </c>
      <c r="G30" s="107">
        <v>850000</v>
      </c>
      <c r="H30" s="3">
        <f t="shared" si="1"/>
        <v>161500</v>
      </c>
      <c r="I30" s="3">
        <f t="shared" si="2"/>
        <v>1011500</v>
      </c>
      <c r="J30" s="3">
        <f>G30*0.04</f>
        <v>34000</v>
      </c>
      <c r="K30" s="3">
        <f t="shared" ref="K30:K35" si="8">G30*11.04/1000</f>
        <v>9384</v>
      </c>
      <c r="L30" s="3">
        <f t="shared" si="7"/>
        <v>24225</v>
      </c>
      <c r="M30" s="106">
        <v>0</v>
      </c>
      <c r="N30" s="3">
        <f t="shared" si="3"/>
        <v>67609</v>
      </c>
      <c r="O30" s="3">
        <f t="shared" si="4"/>
        <v>943891</v>
      </c>
      <c r="P30" s="110">
        <v>45037</v>
      </c>
      <c r="Q30" s="117" t="s">
        <v>24</v>
      </c>
      <c r="R30" s="107">
        <v>142891</v>
      </c>
      <c r="S30" s="125">
        <f t="shared" si="5"/>
        <v>801000</v>
      </c>
      <c r="T30" s="1" t="s">
        <v>25</v>
      </c>
    </row>
    <row r="31" spans="1:21">
      <c r="A31" s="143"/>
      <c r="B31" s="6" t="s">
        <v>91</v>
      </c>
      <c r="C31" s="6" t="s">
        <v>21</v>
      </c>
      <c r="D31" s="7" t="s">
        <v>47</v>
      </c>
      <c r="E31" s="8">
        <v>44991</v>
      </c>
      <c r="F31" s="7" t="s">
        <v>92</v>
      </c>
      <c r="G31" s="9">
        <v>3980000</v>
      </c>
      <c r="H31" s="10">
        <f t="shared" si="1"/>
        <v>756200</v>
      </c>
      <c r="I31" s="10">
        <f t="shared" si="2"/>
        <v>4736200</v>
      </c>
      <c r="J31" s="10">
        <f>G31*0.025</f>
        <v>99500</v>
      </c>
      <c r="K31" s="10">
        <f t="shared" si="8"/>
        <v>43939.199999999997</v>
      </c>
      <c r="L31" s="10">
        <f t="shared" si="7"/>
        <v>113430</v>
      </c>
      <c r="M31" s="58">
        <v>0</v>
      </c>
      <c r="N31" s="10">
        <f t="shared" si="3"/>
        <v>256869.2</v>
      </c>
      <c r="O31" s="10">
        <f t="shared" si="4"/>
        <v>4479330.8</v>
      </c>
      <c r="P31" s="57">
        <v>45044</v>
      </c>
      <c r="Q31" s="40" t="s">
        <v>24</v>
      </c>
      <c r="R31" s="9">
        <v>4479331</v>
      </c>
      <c r="S31" s="10">
        <f t="shared" si="5"/>
        <v>-0.20000000018626451</v>
      </c>
      <c r="T31" s="6" t="s">
        <v>25</v>
      </c>
    </row>
    <row r="32" spans="1:21">
      <c r="A32" s="143"/>
      <c r="B32" s="6" t="s">
        <v>97</v>
      </c>
      <c r="C32" s="6" t="s">
        <v>21</v>
      </c>
      <c r="D32" s="7" t="s">
        <v>47</v>
      </c>
      <c r="E32" s="8">
        <v>44991</v>
      </c>
      <c r="F32" s="7" t="s">
        <v>98</v>
      </c>
      <c r="G32" s="9">
        <v>900000</v>
      </c>
      <c r="H32" s="10">
        <f t="shared" si="1"/>
        <v>171000</v>
      </c>
      <c r="I32" s="10">
        <f t="shared" si="2"/>
        <v>1071000</v>
      </c>
      <c r="J32" s="10">
        <f>G32*0.025</f>
        <v>22500</v>
      </c>
      <c r="K32" s="10">
        <f t="shared" si="8"/>
        <v>9936</v>
      </c>
      <c r="L32" s="10">
        <f t="shared" si="7"/>
        <v>25650</v>
      </c>
      <c r="M32" s="58">
        <v>16838</v>
      </c>
      <c r="N32" s="10">
        <f t="shared" si="3"/>
        <v>74924</v>
      </c>
      <c r="O32" s="10">
        <f t="shared" si="4"/>
        <v>996076</v>
      </c>
      <c r="P32" s="57">
        <v>45030</v>
      </c>
      <c r="Q32" s="40" t="s">
        <v>24</v>
      </c>
      <c r="R32" s="9">
        <v>996076</v>
      </c>
      <c r="S32" s="10">
        <f t="shared" si="5"/>
        <v>0</v>
      </c>
      <c r="T32" s="6" t="s">
        <v>25</v>
      </c>
      <c r="U32" s="3"/>
    </row>
    <row r="33" spans="1:21">
      <c r="A33" s="143"/>
      <c r="B33" s="6" t="s">
        <v>99</v>
      </c>
      <c r="C33" s="6" t="s">
        <v>21</v>
      </c>
      <c r="D33" s="7" t="s">
        <v>47</v>
      </c>
      <c r="E33" s="8">
        <v>44992</v>
      </c>
      <c r="F33" s="7" t="s">
        <v>100</v>
      </c>
      <c r="G33" s="9">
        <v>700000</v>
      </c>
      <c r="H33" s="10">
        <f t="shared" si="1"/>
        <v>133000</v>
      </c>
      <c r="I33" s="10">
        <f t="shared" si="2"/>
        <v>833000</v>
      </c>
      <c r="J33" s="10">
        <f>G33*0.025</f>
        <v>17500</v>
      </c>
      <c r="K33" s="10">
        <f t="shared" si="8"/>
        <v>7727.9999999999991</v>
      </c>
      <c r="L33" s="10">
        <f t="shared" si="7"/>
        <v>19950</v>
      </c>
      <c r="M33" s="58">
        <v>0</v>
      </c>
      <c r="N33" s="10">
        <f t="shared" si="3"/>
        <v>45178</v>
      </c>
      <c r="O33" s="10">
        <f t="shared" si="4"/>
        <v>787822</v>
      </c>
      <c r="P33" s="57">
        <v>45030</v>
      </c>
      <c r="Q33" s="40" t="s">
        <v>24</v>
      </c>
      <c r="R33" s="9">
        <v>787822</v>
      </c>
      <c r="S33" s="10">
        <f t="shared" si="5"/>
        <v>0</v>
      </c>
      <c r="T33" s="6" t="s">
        <v>25</v>
      </c>
    </row>
    <row r="34" spans="1:21">
      <c r="A34" s="143"/>
      <c r="B34" s="6" t="s">
        <v>101</v>
      </c>
      <c r="C34" s="6" t="s">
        <v>21</v>
      </c>
      <c r="D34" s="7" t="s">
        <v>47</v>
      </c>
      <c r="E34" s="8">
        <v>44992</v>
      </c>
      <c r="F34" s="7" t="s">
        <v>102</v>
      </c>
      <c r="G34" s="9">
        <v>2500000</v>
      </c>
      <c r="H34" s="10">
        <f t="shared" si="1"/>
        <v>475000</v>
      </c>
      <c r="I34" s="10">
        <f t="shared" si="2"/>
        <v>2975000</v>
      </c>
      <c r="J34" s="10">
        <f>G34*0.025</f>
        <v>62500</v>
      </c>
      <c r="K34" s="10">
        <f t="shared" si="8"/>
        <v>27599.999999999996</v>
      </c>
      <c r="L34" s="10">
        <f t="shared" si="7"/>
        <v>71250</v>
      </c>
      <c r="M34" s="58">
        <v>23386</v>
      </c>
      <c r="N34" s="10">
        <f t="shared" si="3"/>
        <v>184736</v>
      </c>
      <c r="O34" s="10">
        <f t="shared" si="4"/>
        <v>2790264</v>
      </c>
      <c r="P34" s="57">
        <v>45030</v>
      </c>
      <c r="Q34" s="40" t="s">
        <v>24</v>
      </c>
      <c r="R34" s="9">
        <v>2790264</v>
      </c>
      <c r="S34" s="10">
        <f t="shared" si="5"/>
        <v>0</v>
      </c>
      <c r="T34" s="6" t="s">
        <v>25</v>
      </c>
      <c r="U34" s="3"/>
    </row>
    <row r="35" spans="1:21">
      <c r="A35" s="143"/>
      <c r="B35" s="6" t="s">
        <v>103</v>
      </c>
      <c r="C35" s="6" t="s">
        <v>21</v>
      </c>
      <c r="D35" s="7" t="s">
        <v>47</v>
      </c>
      <c r="E35" s="8">
        <v>44993</v>
      </c>
      <c r="F35" s="7" t="s">
        <v>104</v>
      </c>
      <c r="G35" s="9">
        <v>800000</v>
      </c>
      <c r="H35" s="10">
        <f t="shared" si="1"/>
        <v>152000</v>
      </c>
      <c r="I35" s="10">
        <f t="shared" si="2"/>
        <v>952000</v>
      </c>
      <c r="J35" s="10">
        <f>G35*0.025</f>
        <v>20000</v>
      </c>
      <c r="K35" s="10">
        <f t="shared" si="8"/>
        <v>8832</v>
      </c>
      <c r="L35" s="10">
        <f t="shared" si="7"/>
        <v>22800</v>
      </c>
      <c r="M35" s="58">
        <v>0</v>
      </c>
      <c r="N35" s="10">
        <f t="shared" si="3"/>
        <v>51632</v>
      </c>
      <c r="O35" s="10">
        <f t="shared" si="4"/>
        <v>900368</v>
      </c>
      <c r="P35" s="57">
        <v>45030</v>
      </c>
      <c r="Q35" s="40" t="s">
        <v>24</v>
      </c>
      <c r="R35" s="9">
        <v>900368</v>
      </c>
      <c r="S35" s="10">
        <f t="shared" si="5"/>
        <v>0</v>
      </c>
      <c r="T35" s="6" t="s">
        <v>25</v>
      </c>
    </row>
    <row r="36" spans="1:21" ht="16.5" customHeight="1">
      <c r="A36" s="143"/>
      <c r="B36" s="6" t="s">
        <v>105</v>
      </c>
      <c r="C36" s="6" t="s">
        <v>21</v>
      </c>
      <c r="D36" s="7" t="s">
        <v>47</v>
      </c>
      <c r="E36" s="8">
        <v>45000</v>
      </c>
      <c r="F36" s="7" t="s">
        <v>106</v>
      </c>
      <c r="G36" s="9">
        <v>2920000</v>
      </c>
      <c r="H36" s="10">
        <f t="shared" si="1"/>
        <v>554800</v>
      </c>
      <c r="I36" s="10">
        <f t="shared" si="2"/>
        <v>3474800</v>
      </c>
      <c r="J36" s="10"/>
      <c r="K36" s="10"/>
      <c r="L36" s="10"/>
      <c r="M36" s="58">
        <v>0</v>
      </c>
      <c r="N36" s="10">
        <f t="shared" si="3"/>
        <v>0</v>
      </c>
      <c r="O36" s="10">
        <f t="shared" si="4"/>
        <v>3474800</v>
      </c>
      <c r="P36" s="7"/>
      <c r="Q36" s="6"/>
      <c r="R36" s="9"/>
      <c r="S36" s="10">
        <f t="shared" si="5"/>
        <v>3474800</v>
      </c>
      <c r="T36" s="6"/>
    </row>
    <row r="37" spans="1:21" ht="16.5" customHeight="1">
      <c r="A37" s="143"/>
      <c r="B37" s="6" t="s">
        <v>107</v>
      </c>
      <c r="C37" s="6" t="s">
        <v>21</v>
      </c>
      <c r="D37" s="7" t="s">
        <v>47</v>
      </c>
      <c r="E37" s="8">
        <v>45006</v>
      </c>
      <c r="F37" s="7" t="s">
        <v>108</v>
      </c>
      <c r="G37" s="9">
        <v>151260</v>
      </c>
      <c r="H37" s="10">
        <f t="shared" si="1"/>
        <v>28739.4</v>
      </c>
      <c r="I37" s="10">
        <f t="shared" si="2"/>
        <v>179999.4</v>
      </c>
      <c r="J37" s="10"/>
      <c r="K37" s="10"/>
      <c r="L37" s="10"/>
      <c r="M37" s="58">
        <v>0</v>
      </c>
      <c r="N37" s="10">
        <f t="shared" si="3"/>
        <v>0</v>
      </c>
      <c r="O37" s="10">
        <f t="shared" si="4"/>
        <v>179999.4</v>
      </c>
      <c r="P37" s="7"/>
      <c r="Q37" s="6"/>
      <c r="R37" s="9"/>
      <c r="S37" s="10">
        <f t="shared" si="5"/>
        <v>179999.4</v>
      </c>
      <c r="T37" s="6"/>
    </row>
    <row r="38" spans="1:21" ht="16.5" customHeight="1">
      <c r="A38" s="143"/>
      <c r="B38" s="6" t="s">
        <v>110</v>
      </c>
      <c r="C38" s="6" t="s">
        <v>21</v>
      </c>
      <c r="D38" s="7" t="s">
        <v>47</v>
      </c>
      <c r="E38" s="8">
        <v>45036</v>
      </c>
      <c r="F38" s="7" t="s">
        <v>111</v>
      </c>
      <c r="G38" s="9">
        <v>13400000</v>
      </c>
      <c r="H38" s="10">
        <f t="shared" si="1"/>
        <v>2546000</v>
      </c>
      <c r="I38" s="10">
        <f t="shared" si="2"/>
        <v>15946000</v>
      </c>
      <c r="J38" s="10">
        <f>G38*0.025</f>
        <v>335000</v>
      </c>
      <c r="K38" s="10">
        <f>G38*11.04/1000</f>
        <v>147936</v>
      </c>
      <c r="L38" s="10">
        <f t="shared" ref="L38:L68" si="9">H38*0.15</f>
        <v>381900</v>
      </c>
      <c r="M38" s="58">
        <v>250703</v>
      </c>
      <c r="N38" s="10">
        <f t="shared" si="3"/>
        <v>1115539</v>
      </c>
      <c r="O38" s="10">
        <f t="shared" si="4"/>
        <v>14830461</v>
      </c>
      <c r="P38" s="57">
        <v>45072</v>
      </c>
      <c r="Q38" s="40" t="s">
        <v>24</v>
      </c>
      <c r="R38" s="9">
        <v>14830461</v>
      </c>
      <c r="S38" s="10">
        <f t="shared" si="5"/>
        <v>0</v>
      </c>
      <c r="T38" s="6" t="s">
        <v>112</v>
      </c>
    </row>
    <row r="39" spans="1:21">
      <c r="A39" s="143"/>
      <c r="B39" s="6" t="s">
        <v>113</v>
      </c>
      <c r="C39" s="6" t="s">
        <v>21</v>
      </c>
      <c r="D39" s="7" t="s">
        <v>47</v>
      </c>
      <c r="E39" s="8">
        <v>45036</v>
      </c>
      <c r="F39" s="7" t="s">
        <v>114</v>
      </c>
      <c r="G39" s="9">
        <v>380000</v>
      </c>
      <c r="H39" s="10">
        <f t="shared" si="1"/>
        <v>72200</v>
      </c>
      <c r="I39" s="10">
        <f t="shared" si="2"/>
        <v>452200</v>
      </c>
      <c r="J39" s="10">
        <f>G39*0.025</f>
        <v>9500</v>
      </c>
      <c r="K39" s="10">
        <f>G39*11.04/1000</f>
        <v>4195.2</v>
      </c>
      <c r="L39" s="10">
        <f t="shared" si="9"/>
        <v>10830</v>
      </c>
      <c r="M39" s="58">
        <v>7109</v>
      </c>
      <c r="N39" s="10">
        <f t="shared" si="3"/>
        <v>31634.2</v>
      </c>
      <c r="O39" s="10">
        <f t="shared" si="4"/>
        <v>420565.8</v>
      </c>
      <c r="P39" s="57">
        <v>45072</v>
      </c>
      <c r="Q39" s="40" t="s">
        <v>24</v>
      </c>
      <c r="R39" s="9">
        <v>420566</v>
      </c>
      <c r="S39" s="10">
        <f t="shared" si="5"/>
        <v>-0.20000000001164153</v>
      </c>
      <c r="T39" s="6" t="s">
        <v>112</v>
      </c>
    </row>
    <row r="40" spans="1:21" ht="16.5" customHeight="1">
      <c r="B40" s="1" t="s">
        <v>115</v>
      </c>
      <c r="C40" s="1" t="s">
        <v>21</v>
      </c>
      <c r="D40" t="s">
        <v>47</v>
      </c>
      <c r="E40" s="5">
        <v>45036</v>
      </c>
      <c r="F40" t="s">
        <v>116</v>
      </c>
      <c r="G40" s="107">
        <v>2200000</v>
      </c>
      <c r="H40" s="3">
        <f t="shared" si="1"/>
        <v>418000</v>
      </c>
      <c r="I40" s="3">
        <f t="shared" si="2"/>
        <v>2618000</v>
      </c>
      <c r="J40" s="3"/>
      <c r="K40" s="3"/>
      <c r="L40" s="3">
        <f t="shared" si="9"/>
        <v>62700</v>
      </c>
      <c r="M40" s="106">
        <v>0</v>
      </c>
      <c r="N40" s="3">
        <f t="shared" si="3"/>
        <v>62700</v>
      </c>
      <c r="O40" s="3">
        <f t="shared" si="4"/>
        <v>2555300</v>
      </c>
      <c r="P40" s="110">
        <v>45135</v>
      </c>
      <c r="Q40" s="117" t="s">
        <v>24</v>
      </c>
      <c r="R40" s="107">
        <v>2555300</v>
      </c>
      <c r="S40" s="3">
        <f t="shared" si="5"/>
        <v>0</v>
      </c>
      <c r="T40" s="1" t="s">
        <v>112</v>
      </c>
    </row>
    <row r="41" spans="1:21" ht="16.5" customHeight="1">
      <c r="A41" s="143"/>
      <c r="B41" s="6" t="s">
        <v>117</v>
      </c>
      <c r="C41" s="6" t="s">
        <v>21</v>
      </c>
      <c r="D41" s="7" t="s">
        <v>47</v>
      </c>
      <c r="E41" s="8">
        <v>45036</v>
      </c>
      <c r="F41" s="7" t="s">
        <v>118</v>
      </c>
      <c r="G41" s="9">
        <v>1500000</v>
      </c>
      <c r="H41" s="10">
        <f t="shared" si="1"/>
        <v>285000</v>
      </c>
      <c r="I41" s="10">
        <f t="shared" si="2"/>
        <v>1785000</v>
      </c>
      <c r="J41" s="10"/>
      <c r="K41" s="10"/>
      <c r="L41" s="10">
        <f t="shared" si="9"/>
        <v>42750</v>
      </c>
      <c r="M41" s="58">
        <v>0</v>
      </c>
      <c r="N41" s="10">
        <f t="shared" si="3"/>
        <v>42750</v>
      </c>
      <c r="O41" s="10">
        <f t="shared" si="4"/>
        <v>1742250</v>
      </c>
      <c r="P41" s="57">
        <v>45135</v>
      </c>
      <c r="Q41" s="40" t="s">
        <v>24</v>
      </c>
      <c r="R41" s="9">
        <v>1742250</v>
      </c>
      <c r="S41" s="10">
        <f t="shared" si="5"/>
        <v>0</v>
      </c>
      <c r="T41" s="6" t="s">
        <v>112</v>
      </c>
    </row>
    <row r="42" spans="1:21" ht="16.5" customHeight="1">
      <c r="A42" s="143"/>
      <c r="B42" s="6" t="s">
        <v>119</v>
      </c>
      <c r="C42" s="6" t="s">
        <v>21</v>
      </c>
      <c r="D42" s="7" t="s">
        <v>47</v>
      </c>
      <c r="E42" s="8">
        <v>45036</v>
      </c>
      <c r="F42" s="7" t="s">
        <v>120</v>
      </c>
      <c r="G42" s="9">
        <v>420000</v>
      </c>
      <c r="H42" s="10">
        <f t="shared" si="1"/>
        <v>79800</v>
      </c>
      <c r="I42" s="10">
        <f t="shared" si="2"/>
        <v>499800</v>
      </c>
      <c r="J42" s="10">
        <f>G42*0.025</f>
        <v>10500</v>
      </c>
      <c r="K42" s="10">
        <f>G42*11.04/1000</f>
        <v>4636.8</v>
      </c>
      <c r="L42" s="10">
        <f t="shared" si="9"/>
        <v>11970</v>
      </c>
      <c r="M42" s="58">
        <v>7858</v>
      </c>
      <c r="N42" s="10">
        <f t="shared" si="3"/>
        <v>34964.800000000003</v>
      </c>
      <c r="O42" s="10">
        <f t="shared" si="4"/>
        <v>464835.2</v>
      </c>
      <c r="P42" s="57">
        <v>45072</v>
      </c>
      <c r="Q42" s="40" t="s">
        <v>24</v>
      </c>
      <c r="R42" s="9">
        <v>464835</v>
      </c>
      <c r="S42" s="10">
        <f t="shared" si="5"/>
        <v>0.20000000001164153</v>
      </c>
      <c r="T42" s="6" t="s">
        <v>112</v>
      </c>
    </row>
    <row r="43" spans="1:21" ht="16.5" customHeight="1">
      <c r="A43" s="143"/>
      <c r="B43" s="6" t="s">
        <v>122</v>
      </c>
      <c r="C43" s="6" t="s">
        <v>21</v>
      </c>
      <c r="D43" s="7" t="s">
        <v>47</v>
      </c>
      <c r="E43" s="8">
        <v>45048</v>
      </c>
      <c r="F43" s="7" t="s">
        <v>123</v>
      </c>
      <c r="G43" s="9">
        <v>2030000</v>
      </c>
      <c r="H43" s="10">
        <f t="shared" si="1"/>
        <v>385700</v>
      </c>
      <c r="I43" s="10">
        <f t="shared" si="2"/>
        <v>2415700</v>
      </c>
      <c r="J43" s="10">
        <f>G43*0.025</f>
        <v>50750</v>
      </c>
      <c r="K43" s="10">
        <f>G43*11.04/1000</f>
        <v>22411.200000000001</v>
      </c>
      <c r="L43" s="10">
        <f t="shared" si="9"/>
        <v>57855</v>
      </c>
      <c r="M43" s="58">
        <v>0</v>
      </c>
      <c r="N43" s="10">
        <f t="shared" si="3"/>
        <v>131016.2</v>
      </c>
      <c r="O43" s="10">
        <f t="shared" si="4"/>
        <v>2284683.7999999998</v>
      </c>
      <c r="P43" s="57">
        <v>45114</v>
      </c>
      <c r="Q43" s="40" t="s">
        <v>24</v>
      </c>
      <c r="R43" s="9">
        <v>2284684</v>
      </c>
      <c r="S43" s="10">
        <f t="shared" si="5"/>
        <v>-0.20000000018626451</v>
      </c>
      <c r="T43" s="6" t="s">
        <v>112</v>
      </c>
      <c r="U43" s="3"/>
    </row>
    <row r="44" spans="1:21" ht="16.5" customHeight="1">
      <c r="A44" s="143"/>
      <c r="B44" s="6" t="s">
        <v>124</v>
      </c>
      <c r="C44" s="6" t="s">
        <v>21</v>
      </c>
      <c r="D44" s="7" t="s">
        <v>47</v>
      </c>
      <c r="E44" s="8">
        <v>45048</v>
      </c>
      <c r="F44" s="7" t="s">
        <v>125</v>
      </c>
      <c r="G44" s="9">
        <v>3800000</v>
      </c>
      <c r="H44" s="10">
        <f t="shared" si="1"/>
        <v>722000</v>
      </c>
      <c r="I44" s="10">
        <f t="shared" si="2"/>
        <v>4522000</v>
      </c>
      <c r="J44" s="10">
        <f>G44*0.025</f>
        <v>95000</v>
      </c>
      <c r="K44" s="10">
        <f>G44*11.04/1000</f>
        <v>41952</v>
      </c>
      <c r="L44" s="10">
        <f t="shared" si="9"/>
        <v>108300</v>
      </c>
      <c r="M44" s="58">
        <v>71095</v>
      </c>
      <c r="N44" s="10">
        <f t="shared" si="3"/>
        <v>316347</v>
      </c>
      <c r="O44" s="10">
        <f t="shared" si="4"/>
        <v>4205653</v>
      </c>
      <c r="P44" s="57">
        <v>45086</v>
      </c>
      <c r="Q44" s="40" t="s">
        <v>24</v>
      </c>
      <c r="R44" s="9">
        <v>4205653</v>
      </c>
      <c r="S44" s="10">
        <f t="shared" si="5"/>
        <v>0</v>
      </c>
      <c r="T44" s="6" t="s">
        <v>112</v>
      </c>
    </row>
    <row r="45" spans="1:21" ht="16.5" customHeight="1">
      <c r="A45" s="143"/>
      <c r="B45" s="6" t="s">
        <v>126</v>
      </c>
      <c r="C45" s="6" t="s">
        <v>21</v>
      </c>
      <c r="D45" s="7" t="s">
        <v>47</v>
      </c>
      <c r="E45" s="8">
        <v>45048</v>
      </c>
      <c r="F45" s="7" t="s">
        <v>76</v>
      </c>
      <c r="G45" s="9">
        <v>750000</v>
      </c>
      <c r="H45" s="10">
        <f t="shared" si="1"/>
        <v>142500</v>
      </c>
      <c r="I45" s="10">
        <f t="shared" si="2"/>
        <v>892500</v>
      </c>
      <c r="J45" s="10">
        <f>G45*0.025</f>
        <v>18750</v>
      </c>
      <c r="K45" s="10">
        <f>G45*11.04/1000</f>
        <v>8279.9999999999982</v>
      </c>
      <c r="L45" s="10">
        <f t="shared" si="9"/>
        <v>21375</v>
      </c>
      <c r="M45" s="58">
        <v>0</v>
      </c>
      <c r="N45" s="10">
        <f t="shared" si="3"/>
        <v>48405</v>
      </c>
      <c r="O45" s="10">
        <f t="shared" si="4"/>
        <v>844095</v>
      </c>
      <c r="P45" s="57">
        <v>45086</v>
      </c>
      <c r="Q45" s="40" t="s">
        <v>24</v>
      </c>
      <c r="R45" s="9">
        <v>844095</v>
      </c>
      <c r="S45" s="10">
        <f t="shared" si="5"/>
        <v>0</v>
      </c>
      <c r="T45" s="6" t="s">
        <v>112</v>
      </c>
    </row>
    <row r="46" spans="1:21">
      <c r="A46" s="143"/>
      <c r="B46" s="6" t="s">
        <v>127</v>
      </c>
      <c r="C46" s="6" t="s">
        <v>21</v>
      </c>
      <c r="D46" s="7" t="s">
        <v>47</v>
      </c>
      <c r="E46" s="8">
        <v>45048</v>
      </c>
      <c r="F46" s="7" t="s">
        <v>76</v>
      </c>
      <c r="G46" s="9">
        <v>500000</v>
      </c>
      <c r="H46" s="10">
        <f t="shared" ref="H46:H77" si="10">G46*0.19</f>
        <v>95000</v>
      </c>
      <c r="I46" s="10">
        <f t="shared" ref="I46:I77" si="11">G46+H46</f>
        <v>595000</v>
      </c>
      <c r="J46" s="10">
        <f>G46*0.025</f>
        <v>12500</v>
      </c>
      <c r="K46" s="10">
        <f>G46*11.04/1000</f>
        <v>5520</v>
      </c>
      <c r="L46" s="10">
        <f t="shared" si="9"/>
        <v>14250</v>
      </c>
      <c r="M46" s="58">
        <v>0</v>
      </c>
      <c r="N46" s="10">
        <f t="shared" ref="N46:N77" si="12">SUM(J46:M46)</f>
        <v>32270</v>
      </c>
      <c r="O46" s="10">
        <f t="shared" ref="O46:O77" si="13">+I46-N46</f>
        <v>562730</v>
      </c>
      <c r="P46" s="57">
        <v>45086</v>
      </c>
      <c r="Q46" s="40" t="s">
        <v>24</v>
      </c>
      <c r="R46" s="9">
        <v>562730</v>
      </c>
      <c r="S46" s="10">
        <f t="shared" ref="S46:S77" si="14">+O46-R46</f>
        <v>0</v>
      </c>
      <c r="T46" s="6" t="s">
        <v>112</v>
      </c>
    </row>
    <row r="47" spans="1:21" ht="16.5" customHeight="1">
      <c r="A47" s="4"/>
      <c r="B47" s="1" t="s">
        <v>128</v>
      </c>
      <c r="C47" s="1" t="s">
        <v>21</v>
      </c>
      <c r="D47" t="s">
        <v>47</v>
      </c>
      <c r="E47" s="5">
        <v>45051</v>
      </c>
      <c r="F47" t="s">
        <v>129</v>
      </c>
      <c r="G47" s="107">
        <v>2480000</v>
      </c>
      <c r="H47" s="3">
        <f t="shared" si="10"/>
        <v>471200</v>
      </c>
      <c r="I47" s="3">
        <f t="shared" si="11"/>
        <v>2951200</v>
      </c>
      <c r="J47" s="3"/>
      <c r="K47" s="3"/>
      <c r="L47" s="3">
        <f t="shared" si="9"/>
        <v>70680</v>
      </c>
      <c r="M47" s="106">
        <v>0</v>
      </c>
      <c r="N47" s="3">
        <f t="shared" si="12"/>
        <v>70680</v>
      </c>
      <c r="O47" s="3">
        <f t="shared" si="13"/>
        <v>2880520</v>
      </c>
      <c r="P47" s="110">
        <v>45135</v>
      </c>
      <c r="Q47" s="117" t="s">
        <v>24</v>
      </c>
      <c r="R47" s="107">
        <v>2880520</v>
      </c>
      <c r="S47" s="3">
        <f t="shared" si="14"/>
        <v>0</v>
      </c>
      <c r="T47" s="1" t="s">
        <v>112</v>
      </c>
    </row>
    <row r="48" spans="1:21" ht="16.5" customHeight="1">
      <c r="A48" s="143"/>
      <c r="B48" s="6" t="s">
        <v>130</v>
      </c>
      <c r="C48" s="6" t="s">
        <v>21</v>
      </c>
      <c r="D48" s="7" t="s">
        <v>47</v>
      </c>
      <c r="E48" s="8">
        <v>45051</v>
      </c>
      <c r="F48" s="7" t="s">
        <v>82</v>
      </c>
      <c r="G48" s="9">
        <v>4000000</v>
      </c>
      <c r="H48" s="10">
        <f t="shared" si="10"/>
        <v>760000</v>
      </c>
      <c r="I48" s="10">
        <f t="shared" si="11"/>
        <v>4760000</v>
      </c>
      <c r="J48" s="10">
        <f>G48*0.025</f>
        <v>100000</v>
      </c>
      <c r="K48" s="10">
        <f t="shared" ref="K48:K65" si="15">G48*11.04/1000</f>
        <v>44160</v>
      </c>
      <c r="L48" s="10">
        <f t="shared" si="9"/>
        <v>114000</v>
      </c>
      <c r="M48" s="58">
        <v>74837</v>
      </c>
      <c r="N48" s="10">
        <f t="shared" si="12"/>
        <v>332997</v>
      </c>
      <c r="O48" s="10">
        <f t="shared" si="13"/>
        <v>4427003</v>
      </c>
      <c r="P48" s="57">
        <v>45086</v>
      </c>
      <c r="Q48" s="40" t="s">
        <v>24</v>
      </c>
      <c r="R48" s="9">
        <v>4427003</v>
      </c>
      <c r="S48" s="10">
        <f t="shared" si="14"/>
        <v>0</v>
      </c>
      <c r="T48" s="6" t="s">
        <v>112</v>
      </c>
    </row>
    <row r="49" spans="1:22" ht="16.5" customHeight="1">
      <c r="A49" s="143"/>
      <c r="B49" s="6" t="s">
        <v>136</v>
      </c>
      <c r="C49" s="6" t="s">
        <v>21</v>
      </c>
      <c r="D49" s="7" t="s">
        <v>47</v>
      </c>
      <c r="E49" s="8">
        <v>45065</v>
      </c>
      <c r="F49" s="7" t="s">
        <v>82</v>
      </c>
      <c r="G49" s="9">
        <v>4000000</v>
      </c>
      <c r="H49" s="10">
        <f t="shared" si="10"/>
        <v>760000</v>
      </c>
      <c r="I49" s="10">
        <f t="shared" si="11"/>
        <v>4760000</v>
      </c>
      <c r="J49" s="10">
        <f>G49*0.025</f>
        <v>100000</v>
      </c>
      <c r="K49" s="10">
        <f t="shared" si="15"/>
        <v>44160</v>
      </c>
      <c r="L49" s="10">
        <f t="shared" si="9"/>
        <v>114000</v>
      </c>
      <c r="M49" s="58">
        <v>37418</v>
      </c>
      <c r="N49" s="10">
        <f t="shared" si="12"/>
        <v>295578</v>
      </c>
      <c r="O49" s="10">
        <f t="shared" si="13"/>
        <v>4464422</v>
      </c>
      <c r="P49" s="57">
        <v>45100</v>
      </c>
      <c r="Q49" s="40" t="s">
        <v>24</v>
      </c>
      <c r="R49" s="9">
        <v>4464422</v>
      </c>
      <c r="S49" s="10">
        <f t="shared" si="14"/>
        <v>0</v>
      </c>
      <c r="T49" s="6" t="s">
        <v>112</v>
      </c>
    </row>
    <row r="50" spans="1:22" ht="16.5" customHeight="1">
      <c r="A50" s="143"/>
      <c r="B50" s="6" t="s">
        <v>139</v>
      </c>
      <c r="C50" s="6" t="s">
        <v>21</v>
      </c>
      <c r="D50" s="7" t="s">
        <v>47</v>
      </c>
      <c r="E50" s="8">
        <v>45082</v>
      </c>
      <c r="F50" s="7" t="s">
        <v>140</v>
      </c>
      <c r="G50" s="9">
        <v>3780000</v>
      </c>
      <c r="H50" s="10">
        <f t="shared" si="10"/>
        <v>718200</v>
      </c>
      <c r="I50" s="10">
        <f t="shared" si="11"/>
        <v>4498200</v>
      </c>
      <c r="J50" s="10">
        <f>G50*0.025</f>
        <v>94500</v>
      </c>
      <c r="K50" s="10">
        <f t="shared" si="15"/>
        <v>41731.199999999997</v>
      </c>
      <c r="L50" s="10">
        <f t="shared" si="9"/>
        <v>107730</v>
      </c>
      <c r="M50" s="58">
        <v>0</v>
      </c>
      <c r="N50" s="10">
        <f t="shared" si="12"/>
        <v>243961.2</v>
      </c>
      <c r="O50" s="10">
        <f t="shared" si="13"/>
        <v>4254238.8</v>
      </c>
      <c r="P50" s="57">
        <v>45135</v>
      </c>
      <c r="Q50" s="6" t="s">
        <v>24</v>
      </c>
      <c r="R50" s="9">
        <v>4254239</v>
      </c>
      <c r="S50" s="10">
        <f t="shared" si="14"/>
        <v>-0.20000000018626451</v>
      </c>
      <c r="T50" s="6" t="s">
        <v>25</v>
      </c>
      <c r="U50" s="3"/>
    </row>
    <row r="51" spans="1:22" ht="16.5" customHeight="1">
      <c r="A51" s="143"/>
      <c r="B51" s="6" t="s">
        <v>141</v>
      </c>
      <c r="C51" s="6" t="s">
        <v>21</v>
      </c>
      <c r="D51" s="7" t="s">
        <v>47</v>
      </c>
      <c r="E51" s="8">
        <v>45082</v>
      </c>
      <c r="F51" s="7" t="s">
        <v>66</v>
      </c>
      <c r="G51" s="9">
        <v>600000</v>
      </c>
      <c r="H51" s="10">
        <f t="shared" si="10"/>
        <v>114000</v>
      </c>
      <c r="I51" s="10">
        <f t="shared" si="11"/>
        <v>714000</v>
      </c>
      <c r="J51" s="10">
        <f>G51*0.04</f>
        <v>24000</v>
      </c>
      <c r="K51" s="10">
        <f t="shared" si="15"/>
        <v>6623.9999999999991</v>
      </c>
      <c r="L51" s="10">
        <f t="shared" si="9"/>
        <v>17100</v>
      </c>
      <c r="M51" s="58">
        <v>0</v>
      </c>
      <c r="N51" s="10">
        <f t="shared" si="12"/>
        <v>47724</v>
      </c>
      <c r="O51" s="10">
        <f t="shared" si="13"/>
        <v>666276</v>
      </c>
      <c r="P51" s="57">
        <v>45149</v>
      </c>
      <c r="Q51" s="6" t="s">
        <v>24</v>
      </c>
      <c r="R51" s="9">
        <v>370776</v>
      </c>
      <c r="S51" s="59">
        <f t="shared" si="14"/>
        <v>295500</v>
      </c>
      <c r="T51" s="6" t="s">
        <v>25</v>
      </c>
    </row>
    <row r="52" spans="1:22" ht="16.5" customHeight="1">
      <c r="A52" s="143"/>
      <c r="B52" s="6" t="s">
        <v>148</v>
      </c>
      <c r="C52" s="6" t="s">
        <v>21</v>
      </c>
      <c r="D52" s="7" t="s">
        <v>47</v>
      </c>
      <c r="E52" s="8">
        <v>45086</v>
      </c>
      <c r="F52" s="7" t="s">
        <v>149</v>
      </c>
      <c r="G52" s="9">
        <v>2600000</v>
      </c>
      <c r="H52" s="10">
        <f t="shared" si="10"/>
        <v>494000</v>
      </c>
      <c r="I52" s="10">
        <f t="shared" si="11"/>
        <v>3094000</v>
      </c>
      <c r="J52" s="10"/>
      <c r="K52" s="10">
        <f t="shared" si="15"/>
        <v>28703.999999999996</v>
      </c>
      <c r="L52" s="10">
        <f t="shared" si="9"/>
        <v>74100</v>
      </c>
      <c r="M52" s="58">
        <v>0</v>
      </c>
      <c r="N52" s="10">
        <f t="shared" si="12"/>
        <v>102804</v>
      </c>
      <c r="O52" s="10">
        <f t="shared" si="13"/>
        <v>2991196</v>
      </c>
      <c r="P52" s="57">
        <v>45149</v>
      </c>
      <c r="Q52" s="6" t="s">
        <v>24</v>
      </c>
      <c r="R52" s="9">
        <v>2991196</v>
      </c>
      <c r="S52" s="10">
        <f t="shared" si="14"/>
        <v>0</v>
      </c>
      <c r="T52" s="6" t="s">
        <v>25</v>
      </c>
    </row>
    <row r="53" spans="1:22" ht="16.5" customHeight="1">
      <c r="A53" s="143"/>
      <c r="B53" s="6" t="s">
        <v>150</v>
      </c>
      <c r="C53" s="6" t="s">
        <v>21</v>
      </c>
      <c r="D53" s="7" t="s">
        <v>47</v>
      </c>
      <c r="E53" s="8">
        <v>45096</v>
      </c>
      <c r="F53" s="7" t="s">
        <v>151</v>
      </c>
      <c r="G53" s="9">
        <v>1750000</v>
      </c>
      <c r="H53" s="10">
        <f t="shared" si="10"/>
        <v>332500</v>
      </c>
      <c r="I53" s="10">
        <f t="shared" si="11"/>
        <v>2082500</v>
      </c>
      <c r="J53" s="10"/>
      <c r="K53" s="10">
        <f t="shared" si="15"/>
        <v>19320</v>
      </c>
      <c r="L53" s="10">
        <f t="shared" si="9"/>
        <v>49875</v>
      </c>
      <c r="M53" s="58">
        <v>0</v>
      </c>
      <c r="N53" s="10">
        <f t="shared" si="12"/>
        <v>69195</v>
      </c>
      <c r="O53" s="10">
        <f t="shared" si="13"/>
        <v>2013305</v>
      </c>
      <c r="P53" s="57">
        <v>45149</v>
      </c>
      <c r="Q53" s="6" t="s">
        <v>24</v>
      </c>
      <c r="R53" s="9">
        <v>2013305</v>
      </c>
      <c r="S53" s="10">
        <f t="shared" si="14"/>
        <v>0</v>
      </c>
      <c r="T53" s="6" t="s">
        <v>25</v>
      </c>
    </row>
    <row r="54" spans="1:22">
      <c r="A54" s="143"/>
      <c r="B54" s="6" t="s">
        <v>152</v>
      </c>
      <c r="C54" s="6" t="s">
        <v>21</v>
      </c>
      <c r="D54" s="7" t="s">
        <v>47</v>
      </c>
      <c r="E54" s="8">
        <v>45096</v>
      </c>
      <c r="F54" s="7" t="s">
        <v>153</v>
      </c>
      <c r="G54" s="9">
        <v>9000000</v>
      </c>
      <c r="H54" s="10">
        <f t="shared" si="10"/>
        <v>1710000</v>
      </c>
      <c r="I54" s="10">
        <f t="shared" si="11"/>
        <v>10710000</v>
      </c>
      <c r="J54" s="10"/>
      <c r="K54" s="10">
        <f t="shared" si="15"/>
        <v>99359.999999999985</v>
      </c>
      <c r="L54" s="10">
        <f t="shared" si="9"/>
        <v>256500</v>
      </c>
      <c r="M54" s="58">
        <v>0</v>
      </c>
      <c r="N54" s="10">
        <f t="shared" si="12"/>
        <v>355860</v>
      </c>
      <c r="O54" s="10">
        <f t="shared" si="13"/>
        <v>10354140</v>
      </c>
      <c r="P54" s="57">
        <v>45149</v>
      </c>
      <c r="Q54" s="6" t="s">
        <v>24</v>
      </c>
      <c r="R54" s="9">
        <v>10354140</v>
      </c>
      <c r="S54" s="10">
        <f t="shared" si="14"/>
        <v>0</v>
      </c>
      <c r="T54" s="6" t="s">
        <v>25</v>
      </c>
    </row>
    <row r="55" spans="1:22" ht="16.5" customHeight="1">
      <c r="A55" s="143"/>
      <c r="B55" s="6" t="s">
        <v>154</v>
      </c>
      <c r="C55" s="6" t="s">
        <v>21</v>
      </c>
      <c r="D55" s="7" t="s">
        <v>47</v>
      </c>
      <c r="E55" s="8">
        <v>45096</v>
      </c>
      <c r="F55" s="7" t="s">
        <v>153</v>
      </c>
      <c r="G55" s="9">
        <v>9000000</v>
      </c>
      <c r="H55" s="10">
        <f t="shared" si="10"/>
        <v>1710000</v>
      </c>
      <c r="I55" s="10">
        <f t="shared" si="11"/>
        <v>10710000</v>
      </c>
      <c r="J55" s="10"/>
      <c r="K55" s="10">
        <f t="shared" si="15"/>
        <v>99359.999999999985</v>
      </c>
      <c r="L55" s="10">
        <f t="shared" si="9"/>
        <v>256500</v>
      </c>
      <c r="M55" s="58">
        <v>0</v>
      </c>
      <c r="N55" s="10">
        <f t="shared" si="12"/>
        <v>355860</v>
      </c>
      <c r="O55" s="10">
        <f t="shared" si="13"/>
        <v>10354140</v>
      </c>
      <c r="P55" s="57">
        <v>45149</v>
      </c>
      <c r="Q55" s="6" t="s">
        <v>24</v>
      </c>
      <c r="R55" s="9">
        <v>10354140</v>
      </c>
      <c r="S55" s="10">
        <f t="shared" si="14"/>
        <v>0</v>
      </c>
      <c r="T55" s="6" t="s">
        <v>25</v>
      </c>
    </row>
    <row r="56" spans="1:22">
      <c r="A56" s="143"/>
      <c r="B56" s="6" t="s">
        <v>155</v>
      </c>
      <c r="C56" s="6" t="s">
        <v>21</v>
      </c>
      <c r="D56" s="7" t="s">
        <v>47</v>
      </c>
      <c r="E56" s="8">
        <v>45096</v>
      </c>
      <c r="F56" s="7" t="s">
        <v>153</v>
      </c>
      <c r="G56" s="9">
        <v>9000000</v>
      </c>
      <c r="H56" s="10">
        <f t="shared" si="10"/>
        <v>1710000</v>
      </c>
      <c r="I56" s="10">
        <f t="shared" si="11"/>
        <v>10710000</v>
      </c>
      <c r="J56" s="10"/>
      <c r="K56" s="10">
        <f t="shared" si="15"/>
        <v>99359.999999999985</v>
      </c>
      <c r="L56" s="10">
        <f t="shared" si="9"/>
        <v>256500</v>
      </c>
      <c r="M56" s="58">
        <v>0</v>
      </c>
      <c r="N56" s="10">
        <f t="shared" si="12"/>
        <v>355860</v>
      </c>
      <c r="O56" s="10">
        <f t="shared" si="13"/>
        <v>10354140</v>
      </c>
      <c r="P56" s="57">
        <v>45149</v>
      </c>
      <c r="Q56" s="6" t="s">
        <v>24</v>
      </c>
      <c r="R56" s="9">
        <v>10354140</v>
      </c>
      <c r="S56" s="10">
        <f t="shared" si="14"/>
        <v>0</v>
      </c>
      <c r="T56" s="6" t="s">
        <v>25</v>
      </c>
    </row>
    <row r="57" spans="1:22" ht="16.5" customHeight="1">
      <c r="B57" s="1" t="s">
        <v>156</v>
      </c>
      <c r="C57" s="1" t="s">
        <v>21</v>
      </c>
      <c r="D57" t="s">
        <v>47</v>
      </c>
      <c r="E57" s="5">
        <v>45097</v>
      </c>
      <c r="F57" t="s">
        <v>157</v>
      </c>
      <c r="G57" s="107">
        <v>1450000</v>
      </c>
      <c r="H57" s="3">
        <f t="shared" si="10"/>
        <v>275500</v>
      </c>
      <c r="I57" s="3">
        <f t="shared" si="11"/>
        <v>1725500</v>
      </c>
      <c r="J57" s="3">
        <f>G57*0.025</f>
        <v>36250</v>
      </c>
      <c r="K57" s="3">
        <f t="shared" si="15"/>
        <v>16007.999999999998</v>
      </c>
      <c r="L57" s="3">
        <f t="shared" si="9"/>
        <v>41325</v>
      </c>
      <c r="M57" s="106">
        <v>27128</v>
      </c>
      <c r="N57" s="3">
        <f t="shared" si="12"/>
        <v>120711</v>
      </c>
      <c r="O57" s="3">
        <f t="shared" si="13"/>
        <v>1604789</v>
      </c>
      <c r="P57" s="110">
        <v>45121</v>
      </c>
      <c r="Q57" s="1" t="s">
        <v>24</v>
      </c>
      <c r="R57" s="107">
        <v>1604789</v>
      </c>
      <c r="S57" s="3">
        <f t="shared" si="14"/>
        <v>0</v>
      </c>
      <c r="T57" s="1" t="s">
        <v>25</v>
      </c>
    </row>
    <row r="58" spans="1:22" ht="15" customHeight="1">
      <c r="A58" s="143"/>
      <c r="B58" s="6" t="s">
        <v>158</v>
      </c>
      <c r="C58" s="6" t="s">
        <v>21</v>
      </c>
      <c r="D58" s="7" t="s">
        <v>47</v>
      </c>
      <c r="E58" s="8">
        <v>45097</v>
      </c>
      <c r="F58" s="7" t="s">
        <v>159</v>
      </c>
      <c r="G58" s="9">
        <v>630000</v>
      </c>
      <c r="H58" s="10">
        <f t="shared" si="10"/>
        <v>119700</v>
      </c>
      <c r="I58" s="10">
        <f t="shared" si="11"/>
        <v>749700</v>
      </c>
      <c r="J58" s="10">
        <f>G58*0.025</f>
        <v>15750</v>
      </c>
      <c r="K58" s="10">
        <f t="shared" si="15"/>
        <v>6955.1999999999989</v>
      </c>
      <c r="L58" s="10">
        <f t="shared" si="9"/>
        <v>17955</v>
      </c>
      <c r="M58" s="58">
        <v>0</v>
      </c>
      <c r="N58" s="10">
        <f t="shared" si="12"/>
        <v>40660.199999999997</v>
      </c>
      <c r="O58" s="10">
        <f t="shared" si="13"/>
        <v>709039.8</v>
      </c>
      <c r="P58" s="57">
        <v>45149</v>
      </c>
      <c r="Q58" s="6" t="s">
        <v>24</v>
      </c>
      <c r="R58" s="9">
        <v>709040</v>
      </c>
      <c r="S58" s="10">
        <f t="shared" si="14"/>
        <v>-0.19999999995343387</v>
      </c>
      <c r="T58" s="6" t="s">
        <v>25</v>
      </c>
    </row>
    <row r="59" spans="1:22" ht="16.5" customHeight="1">
      <c r="A59" s="143"/>
      <c r="B59" s="6" t="s">
        <v>161</v>
      </c>
      <c r="C59" s="6" t="s">
        <v>21</v>
      </c>
      <c r="D59" s="7" t="s">
        <v>47</v>
      </c>
      <c r="E59" s="8">
        <v>45108</v>
      </c>
      <c r="F59" s="7" t="s">
        <v>162</v>
      </c>
      <c r="G59" s="9">
        <v>3770000</v>
      </c>
      <c r="H59" s="10">
        <f t="shared" si="10"/>
        <v>716300</v>
      </c>
      <c r="I59" s="10">
        <f t="shared" si="11"/>
        <v>4486300</v>
      </c>
      <c r="J59" s="10"/>
      <c r="K59" s="10">
        <f t="shared" si="15"/>
        <v>41620.800000000003</v>
      </c>
      <c r="L59" s="10">
        <f t="shared" si="9"/>
        <v>107445</v>
      </c>
      <c r="M59" s="58">
        <v>0</v>
      </c>
      <c r="N59" s="10">
        <f t="shared" si="12"/>
        <v>149065.79999999999</v>
      </c>
      <c r="O59" s="10">
        <f t="shared" si="13"/>
        <v>4337234.2</v>
      </c>
      <c r="P59" s="57">
        <v>45149</v>
      </c>
      <c r="Q59" s="6" t="s">
        <v>24</v>
      </c>
      <c r="R59" s="9">
        <v>4337234</v>
      </c>
      <c r="S59" s="10">
        <f t="shared" si="14"/>
        <v>0.20000000018626451</v>
      </c>
      <c r="T59" s="6" t="s">
        <v>25</v>
      </c>
    </row>
    <row r="60" spans="1:22" ht="16.5" customHeight="1">
      <c r="A60" s="143"/>
      <c r="B60" s="6" t="s">
        <v>163</v>
      </c>
      <c r="C60" s="6" t="s">
        <v>21</v>
      </c>
      <c r="D60" s="7" t="s">
        <v>47</v>
      </c>
      <c r="E60" s="8">
        <v>45108</v>
      </c>
      <c r="F60" s="7" t="s">
        <v>164</v>
      </c>
      <c r="G60" s="9">
        <v>3300000</v>
      </c>
      <c r="H60" s="10">
        <f t="shared" si="10"/>
        <v>627000</v>
      </c>
      <c r="I60" s="10">
        <f t="shared" si="11"/>
        <v>3927000</v>
      </c>
      <c r="J60" s="10">
        <f>G60*0.025</f>
        <v>82500</v>
      </c>
      <c r="K60" s="10">
        <f t="shared" si="15"/>
        <v>36432</v>
      </c>
      <c r="L60" s="10">
        <f t="shared" si="9"/>
        <v>94050</v>
      </c>
      <c r="M60" s="58">
        <v>30870</v>
      </c>
      <c r="N60" s="10">
        <f t="shared" si="12"/>
        <v>243852</v>
      </c>
      <c r="O60" s="10">
        <f t="shared" si="13"/>
        <v>3683148</v>
      </c>
      <c r="P60" s="57">
        <v>45142</v>
      </c>
      <c r="Q60" s="6" t="s">
        <v>24</v>
      </c>
      <c r="R60" s="9">
        <v>3683148</v>
      </c>
      <c r="S60" s="10">
        <f t="shared" si="14"/>
        <v>0</v>
      </c>
      <c r="T60" s="6" t="s">
        <v>25</v>
      </c>
      <c r="U60" t="s">
        <v>142</v>
      </c>
      <c r="V60" s="80" t="s">
        <v>143</v>
      </c>
    </row>
    <row r="61" spans="1:22">
      <c r="A61" s="143"/>
      <c r="B61" s="6" t="s">
        <v>165</v>
      </c>
      <c r="C61" s="6" t="s">
        <v>21</v>
      </c>
      <c r="D61" s="7" t="s">
        <v>47</v>
      </c>
      <c r="E61" s="8">
        <v>45108</v>
      </c>
      <c r="F61" s="7" t="s">
        <v>166</v>
      </c>
      <c r="G61" s="9">
        <v>7300000</v>
      </c>
      <c r="H61" s="10">
        <f t="shared" si="10"/>
        <v>1387000</v>
      </c>
      <c r="I61" s="10">
        <f t="shared" si="11"/>
        <v>8687000</v>
      </c>
      <c r="J61" s="10"/>
      <c r="K61" s="10">
        <f t="shared" si="15"/>
        <v>80592</v>
      </c>
      <c r="L61" s="10">
        <f t="shared" si="9"/>
        <v>208050</v>
      </c>
      <c r="M61" s="58">
        <v>0</v>
      </c>
      <c r="N61" s="10">
        <f t="shared" si="12"/>
        <v>288642</v>
      </c>
      <c r="O61" s="10">
        <f t="shared" si="13"/>
        <v>8398358</v>
      </c>
      <c r="P61" s="57">
        <v>45149</v>
      </c>
      <c r="Q61" s="6" t="s">
        <v>24</v>
      </c>
      <c r="R61" s="9">
        <v>8398358</v>
      </c>
      <c r="S61" s="10">
        <f t="shared" si="14"/>
        <v>0</v>
      </c>
      <c r="T61" s="6" t="s">
        <v>25</v>
      </c>
    </row>
    <row r="62" spans="1:22" ht="16.5" customHeight="1">
      <c r="A62" s="143"/>
      <c r="B62" s="6" t="s">
        <v>175</v>
      </c>
      <c r="C62" s="6" t="s">
        <v>21</v>
      </c>
      <c r="D62" s="7" t="s">
        <v>47</v>
      </c>
      <c r="E62" s="8">
        <v>45147</v>
      </c>
      <c r="F62" s="7" t="s">
        <v>176</v>
      </c>
      <c r="G62" s="9">
        <v>300000</v>
      </c>
      <c r="H62" s="10">
        <f t="shared" si="10"/>
        <v>57000</v>
      </c>
      <c r="I62" s="10">
        <f t="shared" si="11"/>
        <v>357000</v>
      </c>
      <c r="J62" s="10">
        <f t="shared" ref="J62:J68" si="16">G62*0.025</f>
        <v>7500</v>
      </c>
      <c r="K62" s="10">
        <f t="shared" si="15"/>
        <v>3311.9999999999995</v>
      </c>
      <c r="L62" s="10">
        <f t="shared" si="9"/>
        <v>8550</v>
      </c>
      <c r="M62" s="58">
        <v>0</v>
      </c>
      <c r="N62" s="10">
        <f t="shared" si="12"/>
        <v>19362</v>
      </c>
      <c r="O62" s="10">
        <f t="shared" si="13"/>
        <v>337638</v>
      </c>
      <c r="P62" s="57">
        <v>45191</v>
      </c>
      <c r="Q62" s="6" t="s">
        <v>24</v>
      </c>
      <c r="R62" s="9">
        <v>337638</v>
      </c>
      <c r="S62" s="10">
        <f t="shared" si="14"/>
        <v>0</v>
      </c>
      <c r="T62" s="81" t="s">
        <v>25</v>
      </c>
    </row>
    <row r="63" spans="1:22" ht="16.5" customHeight="1">
      <c r="A63" s="143"/>
      <c r="B63" s="6" t="s">
        <v>189</v>
      </c>
      <c r="C63" s="6" t="s">
        <v>21</v>
      </c>
      <c r="D63" s="7" t="s">
        <v>47</v>
      </c>
      <c r="E63" s="8">
        <v>45150</v>
      </c>
      <c r="F63" s="7" t="s">
        <v>190</v>
      </c>
      <c r="G63" s="9">
        <v>840000</v>
      </c>
      <c r="H63" s="10">
        <f t="shared" si="10"/>
        <v>159600</v>
      </c>
      <c r="I63" s="10">
        <f t="shared" si="11"/>
        <v>999600</v>
      </c>
      <c r="J63" s="10">
        <f t="shared" si="16"/>
        <v>21000</v>
      </c>
      <c r="K63" s="10">
        <f t="shared" si="15"/>
        <v>9273.6</v>
      </c>
      <c r="L63" s="10">
        <f t="shared" si="9"/>
        <v>23940</v>
      </c>
      <c r="M63" s="58">
        <v>0</v>
      </c>
      <c r="N63" s="10">
        <f t="shared" si="12"/>
        <v>54213.599999999999</v>
      </c>
      <c r="O63" s="10">
        <f t="shared" si="13"/>
        <v>945386.4</v>
      </c>
      <c r="P63" s="57">
        <v>45205</v>
      </c>
      <c r="Q63" s="6" t="s">
        <v>24</v>
      </c>
      <c r="R63" s="9">
        <v>945386</v>
      </c>
      <c r="S63" s="10">
        <f t="shared" si="14"/>
        <v>0.40000000002328306</v>
      </c>
      <c r="T63" s="6" t="s">
        <v>25</v>
      </c>
    </row>
    <row r="64" spans="1:22" ht="16.5" customHeight="1">
      <c r="A64" s="143"/>
      <c r="B64" s="6" t="s">
        <v>193</v>
      </c>
      <c r="C64" s="6" t="s">
        <v>21</v>
      </c>
      <c r="D64" s="7" t="s">
        <v>47</v>
      </c>
      <c r="E64" s="8">
        <v>45150</v>
      </c>
      <c r="F64" s="7" t="s">
        <v>190</v>
      </c>
      <c r="G64" s="9">
        <v>868000</v>
      </c>
      <c r="H64" s="10">
        <f t="shared" si="10"/>
        <v>164920</v>
      </c>
      <c r="I64" s="10">
        <f t="shared" si="11"/>
        <v>1032920</v>
      </c>
      <c r="J64" s="10">
        <f t="shared" si="16"/>
        <v>21700</v>
      </c>
      <c r="K64" s="10">
        <f t="shared" si="15"/>
        <v>9582.7199999999993</v>
      </c>
      <c r="L64" s="10">
        <f t="shared" si="9"/>
        <v>24738</v>
      </c>
      <c r="M64" s="58">
        <v>0</v>
      </c>
      <c r="N64" s="10">
        <f t="shared" si="12"/>
        <v>56020.72</v>
      </c>
      <c r="O64" s="10">
        <f t="shared" si="13"/>
        <v>976899.28</v>
      </c>
      <c r="P64" s="57">
        <v>45205</v>
      </c>
      <c r="Q64" s="6" t="s">
        <v>24</v>
      </c>
      <c r="R64" s="9">
        <v>976899</v>
      </c>
      <c r="S64" s="10">
        <f t="shared" si="14"/>
        <v>0.28000000002793968</v>
      </c>
      <c r="T64" s="6" t="s">
        <v>25</v>
      </c>
    </row>
    <row r="65" spans="1:33" ht="16.5" customHeight="1">
      <c r="A65" s="143"/>
      <c r="B65" s="6" t="s">
        <v>194</v>
      </c>
      <c r="C65" s="6" t="s">
        <v>21</v>
      </c>
      <c r="D65" s="7" t="s">
        <v>47</v>
      </c>
      <c r="E65" s="8">
        <v>45150</v>
      </c>
      <c r="F65" s="7" t="s">
        <v>190</v>
      </c>
      <c r="G65" s="9">
        <v>60000</v>
      </c>
      <c r="H65" s="10">
        <f t="shared" si="10"/>
        <v>11400</v>
      </c>
      <c r="I65" s="10">
        <f t="shared" si="11"/>
        <v>71400</v>
      </c>
      <c r="J65" s="10">
        <f t="shared" si="16"/>
        <v>1500</v>
      </c>
      <c r="K65" s="10">
        <f t="shared" si="15"/>
        <v>662.4</v>
      </c>
      <c r="L65" s="10">
        <f t="shared" si="9"/>
        <v>1710</v>
      </c>
      <c r="M65" s="58">
        <v>0</v>
      </c>
      <c r="N65" s="10">
        <f t="shared" si="12"/>
        <v>3872.4</v>
      </c>
      <c r="O65" s="10">
        <f t="shared" si="13"/>
        <v>67527.600000000006</v>
      </c>
      <c r="P65" s="57">
        <v>45205</v>
      </c>
      <c r="Q65" s="6" t="s">
        <v>24</v>
      </c>
      <c r="R65" s="9">
        <v>67528</v>
      </c>
      <c r="S65" s="10">
        <f t="shared" si="14"/>
        <v>-0.39999999999417923</v>
      </c>
      <c r="T65" s="6" t="s">
        <v>25</v>
      </c>
    </row>
    <row r="66" spans="1:33" ht="16.5" customHeight="1">
      <c r="A66" s="143"/>
      <c r="B66" s="6" t="s">
        <v>195</v>
      </c>
      <c r="C66" s="6" t="s">
        <v>21</v>
      </c>
      <c r="D66" s="7" t="s">
        <v>47</v>
      </c>
      <c r="E66" s="8">
        <v>45156</v>
      </c>
      <c r="F66" s="7" t="s">
        <v>82</v>
      </c>
      <c r="G66" s="9">
        <v>4000000</v>
      </c>
      <c r="H66" s="10">
        <f t="shared" si="10"/>
        <v>760000</v>
      </c>
      <c r="I66" s="10">
        <f t="shared" si="11"/>
        <v>4760000</v>
      </c>
      <c r="J66" s="10">
        <f t="shared" si="16"/>
        <v>100000</v>
      </c>
      <c r="K66" s="69">
        <v>22080</v>
      </c>
      <c r="L66" s="10">
        <f t="shared" si="9"/>
        <v>114000</v>
      </c>
      <c r="M66" s="58">
        <v>37639</v>
      </c>
      <c r="N66" s="10">
        <f t="shared" si="12"/>
        <v>273719</v>
      </c>
      <c r="O66" s="10">
        <f t="shared" si="13"/>
        <v>4486281</v>
      </c>
      <c r="P66" s="57">
        <v>45191</v>
      </c>
      <c r="Q66" s="6" t="s">
        <v>24</v>
      </c>
      <c r="R66" s="9">
        <v>4486281</v>
      </c>
      <c r="S66" s="10">
        <f t="shared" si="14"/>
        <v>0</v>
      </c>
      <c r="T66" s="81" t="s">
        <v>25</v>
      </c>
    </row>
    <row r="67" spans="1:33" ht="16.5" customHeight="1">
      <c r="A67" s="143"/>
      <c r="B67" s="6" t="s">
        <v>196</v>
      </c>
      <c r="C67" s="6" t="s">
        <v>21</v>
      </c>
      <c r="D67" s="7" t="s">
        <v>47</v>
      </c>
      <c r="E67" s="8">
        <v>45156</v>
      </c>
      <c r="F67" s="7" t="s">
        <v>197</v>
      </c>
      <c r="G67" s="9">
        <v>6720000</v>
      </c>
      <c r="H67" s="10">
        <f t="shared" si="10"/>
        <v>1276800</v>
      </c>
      <c r="I67" s="10">
        <f t="shared" si="11"/>
        <v>7996800</v>
      </c>
      <c r="J67" s="10">
        <f t="shared" si="16"/>
        <v>168000</v>
      </c>
      <c r="K67" s="10">
        <f>G67*11.04/1000</f>
        <v>74188.800000000003</v>
      </c>
      <c r="L67" s="10">
        <f t="shared" si="9"/>
        <v>191520</v>
      </c>
      <c r="M67" s="58">
        <v>125726</v>
      </c>
      <c r="N67" s="10">
        <f t="shared" si="12"/>
        <v>559434.80000000005</v>
      </c>
      <c r="O67" s="10">
        <f t="shared" si="13"/>
        <v>7437365.2000000002</v>
      </c>
      <c r="P67" s="57">
        <v>45191</v>
      </c>
      <c r="Q67" s="6" t="s">
        <v>24</v>
      </c>
      <c r="R67" s="9">
        <v>7437365</v>
      </c>
      <c r="S67" s="10">
        <f t="shared" si="14"/>
        <v>0.20000000018626451</v>
      </c>
      <c r="T67" s="81" t="s">
        <v>25</v>
      </c>
    </row>
    <row r="68" spans="1:33" ht="16.5" customHeight="1">
      <c r="A68" s="143"/>
      <c r="B68" s="6" t="s">
        <v>201</v>
      </c>
      <c r="C68" s="6" t="s">
        <v>21</v>
      </c>
      <c r="D68" s="7" t="s">
        <v>47</v>
      </c>
      <c r="E68" s="8">
        <v>45156</v>
      </c>
      <c r="F68" s="7" t="s">
        <v>96</v>
      </c>
      <c r="G68" s="9">
        <v>1140000</v>
      </c>
      <c r="H68" s="10">
        <f t="shared" si="10"/>
        <v>216600</v>
      </c>
      <c r="I68" s="10">
        <f t="shared" si="11"/>
        <v>1356600</v>
      </c>
      <c r="J68" s="10">
        <f t="shared" si="16"/>
        <v>28500</v>
      </c>
      <c r="K68" s="10">
        <f>G68*11.04/1000</f>
        <v>12585.599999999999</v>
      </c>
      <c r="L68" s="10">
        <f t="shared" si="9"/>
        <v>32490</v>
      </c>
      <c r="M68" s="58">
        <v>0</v>
      </c>
      <c r="N68" s="10">
        <f t="shared" si="12"/>
        <v>73575.600000000006</v>
      </c>
      <c r="O68" s="10">
        <f t="shared" si="13"/>
        <v>1283024.3999999999</v>
      </c>
      <c r="P68" s="57">
        <v>45212</v>
      </c>
      <c r="Q68" s="6" t="s">
        <v>24</v>
      </c>
      <c r="R68" s="9">
        <v>1283024</v>
      </c>
      <c r="S68" s="10">
        <f t="shared" si="14"/>
        <v>0.39999999990686774</v>
      </c>
      <c r="T68" s="6" t="s">
        <v>25</v>
      </c>
    </row>
    <row r="69" spans="1:33">
      <c r="A69" s="143"/>
      <c r="B69" s="6" t="s">
        <v>203</v>
      </c>
      <c r="C69" s="6" t="s">
        <v>21</v>
      </c>
      <c r="D69" s="7" t="s">
        <v>47</v>
      </c>
      <c r="E69" s="8">
        <v>45156</v>
      </c>
      <c r="F69" s="7" t="s">
        <v>204</v>
      </c>
      <c r="G69" s="9">
        <v>60000</v>
      </c>
      <c r="H69" s="10">
        <f t="shared" si="10"/>
        <v>11400</v>
      </c>
      <c r="I69" s="10">
        <f t="shared" si="11"/>
        <v>71400</v>
      </c>
      <c r="J69" s="10"/>
      <c r="K69" s="10"/>
      <c r="L69" s="10"/>
      <c r="M69" s="58">
        <v>0</v>
      </c>
      <c r="N69" s="10">
        <f t="shared" si="12"/>
        <v>0</v>
      </c>
      <c r="O69" s="10">
        <f t="shared" si="13"/>
        <v>71400</v>
      </c>
      <c r="P69" s="57">
        <v>45212</v>
      </c>
      <c r="Q69" s="6" t="s">
        <v>135</v>
      </c>
      <c r="R69" s="9">
        <v>71400</v>
      </c>
      <c r="S69" s="10">
        <f t="shared" si="14"/>
        <v>0</v>
      </c>
      <c r="T69" s="6" t="s">
        <v>25</v>
      </c>
    </row>
    <row r="70" spans="1:33" ht="16.5" customHeight="1">
      <c r="B70" s="1" t="s">
        <v>206</v>
      </c>
      <c r="C70" s="1" t="s">
        <v>21</v>
      </c>
      <c r="D70" t="s">
        <v>47</v>
      </c>
      <c r="E70" s="5">
        <v>45156</v>
      </c>
      <c r="F70" t="s">
        <v>204</v>
      </c>
      <c r="G70" s="107">
        <v>2800000</v>
      </c>
      <c r="H70" s="3">
        <f t="shared" si="10"/>
        <v>532000</v>
      </c>
      <c r="I70" s="3">
        <f t="shared" si="11"/>
        <v>3332000</v>
      </c>
      <c r="J70" s="3">
        <f>G70*0.025</f>
        <v>70000</v>
      </c>
      <c r="K70" s="3">
        <f t="shared" ref="K70:K76" si="17">G70*11.04/1000</f>
        <v>30911.999999999996</v>
      </c>
      <c r="L70" s="3">
        <f t="shared" ref="L70:L76" si="18">H70*0.15</f>
        <v>79800</v>
      </c>
      <c r="M70" s="106">
        <v>0</v>
      </c>
      <c r="N70" s="3">
        <f t="shared" si="12"/>
        <v>180712</v>
      </c>
      <c r="O70" s="3">
        <f t="shared" si="13"/>
        <v>3151288</v>
      </c>
      <c r="P70" s="110">
        <v>45212</v>
      </c>
      <c r="Q70" s="1" t="s">
        <v>24</v>
      </c>
      <c r="R70" s="107">
        <v>3151288</v>
      </c>
      <c r="S70" s="3">
        <f t="shared" si="14"/>
        <v>0</v>
      </c>
      <c r="T70" s="1" t="s">
        <v>25</v>
      </c>
    </row>
    <row r="71" spans="1:33" ht="16.5" customHeight="1">
      <c r="A71" s="143"/>
      <c r="B71" s="6" t="s">
        <v>207</v>
      </c>
      <c r="C71" s="6" t="s">
        <v>21</v>
      </c>
      <c r="D71" s="7" t="s">
        <v>47</v>
      </c>
      <c r="E71" s="8">
        <v>45156</v>
      </c>
      <c r="F71" s="7" t="s">
        <v>204</v>
      </c>
      <c r="G71" s="9">
        <v>150000</v>
      </c>
      <c r="H71" s="10">
        <f t="shared" si="10"/>
        <v>28500</v>
      </c>
      <c r="I71" s="10">
        <f t="shared" si="11"/>
        <v>178500</v>
      </c>
      <c r="J71" s="10">
        <f>G71*0.025</f>
        <v>3750</v>
      </c>
      <c r="K71" s="10">
        <f t="shared" si="17"/>
        <v>1655.9999999999998</v>
      </c>
      <c r="L71" s="10">
        <f t="shared" si="18"/>
        <v>4275</v>
      </c>
      <c r="M71" s="58">
        <v>0</v>
      </c>
      <c r="N71" s="10">
        <f t="shared" si="12"/>
        <v>9681</v>
      </c>
      <c r="O71" s="10">
        <f t="shared" si="13"/>
        <v>168819</v>
      </c>
      <c r="P71" s="57">
        <v>45212</v>
      </c>
      <c r="Q71" s="6" t="s">
        <v>24</v>
      </c>
      <c r="R71" s="9">
        <v>168819</v>
      </c>
      <c r="S71" s="10">
        <f t="shared" si="14"/>
        <v>0</v>
      </c>
      <c r="T71" s="6" t="s">
        <v>25</v>
      </c>
    </row>
    <row r="72" spans="1:33" ht="16.5" customHeight="1">
      <c r="A72" s="143"/>
      <c r="B72" s="6" t="s">
        <v>208</v>
      </c>
      <c r="C72" s="6" t="s">
        <v>21</v>
      </c>
      <c r="D72" s="7" t="s">
        <v>47</v>
      </c>
      <c r="E72" s="8">
        <v>45156</v>
      </c>
      <c r="F72" s="7" t="s">
        <v>204</v>
      </c>
      <c r="G72" s="9">
        <v>44000</v>
      </c>
      <c r="H72" s="10">
        <f t="shared" si="10"/>
        <v>8360</v>
      </c>
      <c r="I72" s="10">
        <f t="shared" si="11"/>
        <v>52360</v>
      </c>
      <c r="J72" s="10">
        <f>G72*0.025</f>
        <v>1100</v>
      </c>
      <c r="K72" s="10">
        <f t="shared" si="17"/>
        <v>485.75999999999993</v>
      </c>
      <c r="L72" s="10">
        <f t="shared" si="18"/>
        <v>1254</v>
      </c>
      <c r="M72" s="58">
        <v>0</v>
      </c>
      <c r="N72" s="10">
        <f t="shared" si="12"/>
        <v>2839.76</v>
      </c>
      <c r="O72" s="10">
        <f t="shared" si="13"/>
        <v>49520.24</v>
      </c>
      <c r="P72" s="57">
        <v>45212</v>
      </c>
      <c r="Q72" s="6" t="s">
        <v>24</v>
      </c>
      <c r="R72" s="9">
        <v>49520</v>
      </c>
      <c r="S72" s="10">
        <f t="shared" si="14"/>
        <v>0.23999999999796273</v>
      </c>
      <c r="T72" s="6" t="s">
        <v>25</v>
      </c>
    </row>
    <row r="73" spans="1:33" ht="16.5" customHeight="1">
      <c r="A73" s="143"/>
      <c r="B73" s="6" t="s">
        <v>210</v>
      </c>
      <c r="C73" s="6" t="s">
        <v>21</v>
      </c>
      <c r="D73" s="7" t="s">
        <v>47</v>
      </c>
      <c r="E73" s="8">
        <v>45175</v>
      </c>
      <c r="F73" s="7" t="s">
        <v>211</v>
      </c>
      <c r="G73" s="9">
        <v>5700000</v>
      </c>
      <c r="H73" s="10">
        <f t="shared" si="10"/>
        <v>1083000</v>
      </c>
      <c r="I73" s="10">
        <f t="shared" si="11"/>
        <v>6783000</v>
      </c>
      <c r="J73" s="10"/>
      <c r="K73" s="10">
        <f t="shared" si="17"/>
        <v>62927.999999999993</v>
      </c>
      <c r="L73" s="10">
        <f t="shared" si="18"/>
        <v>162450</v>
      </c>
      <c r="M73" s="58">
        <v>109492</v>
      </c>
      <c r="N73" s="10">
        <f t="shared" si="12"/>
        <v>334870</v>
      </c>
      <c r="O73" s="10">
        <f t="shared" si="13"/>
        <v>6448130</v>
      </c>
      <c r="P73" s="57">
        <v>45198</v>
      </c>
      <c r="Q73" s="6" t="s">
        <v>24</v>
      </c>
      <c r="R73" s="9">
        <v>6448130</v>
      </c>
      <c r="S73" s="10">
        <f t="shared" si="14"/>
        <v>0</v>
      </c>
      <c r="T73" s="6" t="s">
        <v>25</v>
      </c>
    </row>
    <row r="74" spans="1:33">
      <c r="A74" s="143"/>
      <c r="B74" s="6" t="s">
        <v>212</v>
      </c>
      <c r="C74" s="6" t="s">
        <v>21</v>
      </c>
      <c r="D74" s="7" t="s">
        <v>47</v>
      </c>
      <c r="E74" s="8">
        <v>45175</v>
      </c>
      <c r="F74" s="7" t="s">
        <v>164</v>
      </c>
      <c r="G74" s="9">
        <v>3300000</v>
      </c>
      <c r="H74" s="10">
        <f t="shared" si="10"/>
        <v>627000</v>
      </c>
      <c r="I74" s="10">
        <f t="shared" si="11"/>
        <v>3927000</v>
      </c>
      <c r="J74" s="10">
        <f>G74*0.025</f>
        <v>82500</v>
      </c>
      <c r="K74" s="10">
        <f t="shared" si="17"/>
        <v>36432</v>
      </c>
      <c r="L74" s="10">
        <f t="shared" si="18"/>
        <v>94050</v>
      </c>
      <c r="M74" s="58">
        <v>0</v>
      </c>
      <c r="N74" s="10">
        <f t="shared" si="12"/>
        <v>212982</v>
      </c>
      <c r="O74" s="10">
        <f t="shared" si="13"/>
        <v>3714018</v>
      </c>
      <c r="P74" s="57">
        <v>45212</v>
      </c>
      <c r="Q74" s="6" t="s">
        <v>24</v>
      </c>
      <c r="R74" s="9">
        <v>3714018</v>
      </c>
      <c r="S74" s="10">
        <f t="shared" si="14"/>
        <v>0</v>
      </c>
      <c r="T74" s="6" t="s">
        <v>25</v>
      </c>
    </row>
    <row r="75" spans="1:33">
      <c r="A75" s="143"/>
      <c r="B75" s="6" t="s">
        <v>213</v>
      </c>
      <c r="C75" s="6" t="s">
        <v>21</v>
      </c>
      <c r="D75" s="7" t="s">
        <v>47</v>
      </c>
      <c r="E75" s="8">
        <v>45175</v>
      </c>
      <c r="F75" s="7" t="s">
        <v>147</v>
      </c>
      <c r="G75" s="9">
        <v>1750000</v>
      </c>
      <c r="H75" s="10">
        <f t="shared" si="10"/>
        <v>332500</v>
      </c>
      <c r="I75" s="10">
        <f t="shared" si="11"/>
        <v>2082500</v>
      </c>
      <c r="J75" s="10">
        <v>0</v>
      </c>
      <c r="K75" s="10">
        <f t="shared" si="17"/>
        <v>19320</v>
      </c>
      <c r="L75" s="10">
        <f t="shared" si="18"/>
        <v>49875</v>
      </c>
      <c r="M75" s="58">
        <v>0</v>
      </c>
      <c r="N75" s="10">
        <f t="shared" si="12"/>
        <v>69195</v>
      </c>
      <c r="O75" s="10">
        <f t="shared" si="13"/>
        <v>2013305</v>
      </c>
      <c r="P75" s="57">
        <v>45226</v>
      </c>
      <c r="Q75" s="6" t="s">
        <v>24</v>
      </c>
      <c r="R75" s="9">
        <v>2013305</v>
      </c>
      <c r="S75" s="10">
        <f t="shared" si="14"/>
        <v>0</v>
      </c>
      <c r="T75" s="6" t="s">
        <v>25</v>
      </c>
    </row>
    <row r="76" spans="1:33">
      <c r="A76" s="4"/>
      <c r="B76" s="1" t="s">
        <v>214</v>
      </c>
      <c r="C76" s="1" t="s">
        <v>21</v>
      </c>
      <c r="D76" t="s">
        <v>47</v>
      </c>
      <c r="E76" s="5">
        <v>45175</v>
      </c>
      <c r="F76" t="s">
        <v>215</v>
      </c>
      <c r="G76" s="107">
        <v>530000</v>
      </c>
      <c r="H76" s="3">
        <f t="shared" si="10"/>
        <v>100700</v>
      </c>
      <c r="I76" s="3">
        <f t="shared" si="11"/>
        <v>630700</v>
      </c>
      <c r="J76" s="3">
        <f>G76*0.025</f>
        <v>13250</v>
      </c>
      <c r="K76" s="3">
        <f t="shared" si="17"/>
        <v>5851.2</v>
      </c>
      <c r="L76" s="3">
        <f t="shared" si="18"/>
        <v>15105</v>
      </c>
      <c r="M76" s="106">
        <v>0</v>
      </c>
      <c r="N76" s="3">
        <f t="shared" si="12"/>
        <v>34206.199999999997</v>
      </c>
      <c r="O76" s="3">
        <f t="shared" si="13"/>
        <v>596493.80000000005</v>
      </c>
      <c r="P76" s="110">
        <v>45226</v>
      </c>
      <c r="Q76" s="1" t="s">
        <v>24</v>
      </c>
      <c r="R76" s="107">
        <v>596494</v>
      </c>
      <c r="S76" s="3">
        <f t="shared" si="14"/>
        <v>-0.19999999995343387</v>
      </c>
      <c r="T76" s="1" t="s">
        <v>25</v>
      </c>
    </row>
    <row r="77" spans="1:33" ht="15" customHeight="1">
      <c r="A77" s="143"/>
      <c r="B77" s="63" t="s">
        <v>216</v>
      </c>
      <c r="C77" s="63" t="s">
        <v>21</v>
      </c>
      <c r="D77" s="64" t="s">
        <v>47</v>
      </c>
      <c r="E77" s="65">
        <v>45175</v>
      </c>
      <c r="F77" s="64" t="s">
        <v>217</v>
      </c>
      <c r="G77" s="66">
        <v>450000</v>
      </c>
      <c r="H77" s="67">
        <f t="shared" si="10"/>
        <v>85500</v>
      </c>
      <c r="I77" s="67">
        <f t="shared" si="11"/>
        <v>535500</v>
      </c>
      <c r="J77" s="67"/>
      <c r="K77" s="67"/>
      <c r="L77" s="67"/>
      <c r="M77" s="68">
        <v>0</v>
      </c>
      <c r="N77" s="67">
        <f t="shared" si="12"/>
        <v>0</v>
      </c>
      <c r="O77" s="67">
        <f t="shared" si="13"/>
        <v>535500</v>
      </c>
      <c r="P77" s="64"/>
      <c r="Q77" s="63"/>
      <c r="R77" s="66"/>
      <c r="S77" s="67">
        <f t="shared" si="14"/>
        <v>535500</v>
      </c>
      <c r="T77" s="63"/>
      <c r="W77" s="82"/>
    </row>
    <row r="78" spans="1:33" ht="16.5" customHeight="1">
      <c r="A78" s="143"/>
      <c r="B78" s="6" t="s">
        <v>218</v>
      </c>
      <c r="C78" s="6" t="s">
        <v>21</v>
      </c>
      <c r="D78" s="7" t="s">
        <v>47</v>
      </c>
      <c r="E78" s="8">
        <v>45175</v>
      </c>
      <c r="F78" s="7" t="s">
        <v>219</v>
      </c>
      <c r="G78" s="9">
        <v>330000</v>
      </c>
      <c r="H78" s="10">
        <f t="shared" ref="H78:H109" si="19">G78*0.19</f>
        <v>62700</v>
      </c>
      <c r="I78" s="10">
        <f t="shared" ref="I78:I109" si="20">G78+H78</f>
        <v>392700</v>
      </c>
      <c r="J78" s="10"/>
      <c r="K78" s="10">
        <f t="shared" ref="K78:K93" si="21">G78*11.04/1000</f>
        <v>3643.1999999999994</v>
      </c>
      <c r="L78" s="10">
        <f t="shared" ref="L78:L98" si="22">H78*0.15</f>
        <v>9405</v>
      </c>
      <c r="M78" s="58">
        <v>0</v>
      </c>
      <c r="N78" s="10">
        <f t="shared" ref="N78:N109" si="23">SUM(J78:M78)</f>
        <v>13048.199999999999</v>
      </c>
      <c r="O78" s="10">
        <f t="shared" ref="O78:O109" si="24">+I78-N78</f>
        <v>379651.8</v>
      </c>
      <c r="P78" s="57">
        <v>45226</v>
      </c>
      <c r="Q78" s="6" t="s">
        <v>24</v>
      </c>
      <c r="R78" s="9">
        <v>379652</v>
      </c>
      <c r="S78" s="10">
        <f t="shared" ref="S78:S109" si="25">+O78-R78</f>
        <v>-0.20000000001164153</v>
      </c>
      <c r="T78" s="6" t="s">
        <v>25</v>
      </c>
      <c r="V78" s="70" t="s">
        <v>177</v>
      </c>
      <c r="W78" s="83" t="s">
        <v>178</v>
      </c>
      <c r="X78" s="70" t="s">
        <v>179</v>
      </c>
      <c r="Y78" s="70" t="s">
        <v>180</v>
      </c>
      <c r="Z78" s="70" t="s">
        <v>181</v>
      </c>
      <c r="AA78" s="70" t="s">
        <v>182</v>
      </c>
      <c r="AB78" s="70" t="s">
        <v>183</v>
      </c>
      <c r="AC78" s="70" t="s">
        <v>184</v>
      </c>
      <c r="AD78" s="83" t="s">
        <v>185</v>
      </c>
      <c r="AE78" s="83" t="s">
        <v>186</v>
      </c>
      <c r="AF78" s="70" t="s">
        <v>187</v>
      </c>
      <c r="AG78" s="70" t="s">
        <v>188</v>
      </c>
    </row>
    <row r="79" spans="1:33" ht="16.5" customHeight="1">
      <c r="A79" s="143"/>
      <c r="B79" s="6" t="s">
        <v>220</v>
      </c>
      <c r="C79" s="6" t="s">
        <v>21</v>
      </c>
      <c r="D79" s="7" t="s">
        <v>47</v>
      </c>
      <c r="E79" s="8">
        <v>45175</v>
      </c>
      <c r="F79" s="7" t="s">
        <v>197</v>
      </c>
      <c r="G79" s="9">
        <v>3180000</v>
      </c>
      <c r="H79" s="10">
        <f t="shared" si="19"/>
        <v>604200</v>
      </c>
      <c r="I79" s="10">
        <f t="shared" si="20"/>
        <v>3784200</v>
      </c>
      <c r="J79" s="10">
        <f t="shared" ref="J79:J84" si="26">G79*0.025</f>
        <v>79500</v>
      </c>
      <c r="K79" s="10">
        <f t="shared" si="21"/>
        <v>35107.199999999997</v>
      </c>
      <c r="L79" s="10">
        <f t="shared" si="22"/>
        <v>90630</v>
      </c>
      <c r="M79" s="58">
        <v>59495</v>
      </c>
      <c r="N79" s="10">
        <f t="shared" si="23"/>
        <v>264732.2</v>
      </c>
      <c r="O79" s="10">
        <f t="shared" si="24"/>
        <v>3519467.8</v>
      </c>
      <c r="P79" s="57">
        <v>45212</v>
      </c>
      <c r="Q79" s="6" t="s">
        <v>24</v>
      </c>
      <c r="R79" s="9">
        <v>3519468</v>
      </c>
      <c r="S79" s="10">
        <f t="shared" si="25"/>
        <v>-0.20000000018626451</v>
      </c>
      <c r="T79" s="6" t="s">
        <v>25</v>
      </c>
      <c r="V79" s="77" t="s">
        <v>191</v>
      </c>
      <c r="W79" s="76" t="s">
        <v>192</v>
      </c>
      <c r="X79" s="57">
        <v>45139</v>
      </c>
      <c r="Y79" s="9">
        <v>423050</v>
      </c>
      <c r="Z79" s="9"/>
      <c r="AA79" s="9">
        <f>Y79+Z79</f>
        <v>423050</v>
      </c>
      <c r="AB79" s="9">
        <v>0</v>
      </c>
      <c r="AC79" s="9">
        <v>0</v>
      </c>
      <c r="AD79" s="9">
        <v>0</v>
      </c>
      <c r="AE79" s="9">
        <v>0</v>
      </c>
      <c r="AF79" s="9">
        <f>+AA79-AB79-AC79-AD79-AE79</f>
        <v>423050</v>
      </c>
      <c r="AG79" s="71">
        <v>0</v>
      </c>
    </row>
    <row r="80" spans="1:33" ht="16.5" customHeight="1">
      <c r="A80" s="143"/>
      <c r="B80" s="6" t="s">
        <v>221</v>
      </c>
      <c r="C80" s="6" t="s">
        <v>222</v>
      </c>
      <c r="D80" s="7" t="s">
        <v>47</v>
      </c>
      <c r="E80" s="8">
        <v>45189</v>
      </c>
      <c r="F80" s="7" t="s">
        <v>190</v>
      </c>
      <c r="G80" s="9">
        <v>330000</v>
      </c>
      <c r="H80" s="10">
        <f t="shared" si="19"/>
        <v>62700</v>
      </c>
      <c r="I80" s="10">
        <f t="shared" si="20"/>
        <v>392700</v>
      </c>
      <c r="J80" s="10">
        <f t="shared" si="26"/>
        <v>8250</v>
      </c>
      <c r="K80" s="10">
        <f t="shared" si="21"/>
        <v>3643.1999999999994</v>
      </c>
      <c r="L80" s="10">
        <f t="shared" si="22"/>
        <v>9405</v>
      </c>
      <c r="M80" s="58"/>
      <c r="N80" s="10">
        <f t="shared" si="23"/>
        <v>21298.199999999997</v>
      </c>
      <c r="O80" s="10">
        <f t="shared" si="24"/>
        <v>371401.8</v>
      </c>
      <c r="P80" s="57">
        <v>45240</v>
      </c>
      <c r="Q80" s="6" t="s">
        <v>24</v>
      </c>
      <c r="R80" s="9">
        <v>371402</v>
      </c>
      <c r="S80" s="10">
        <f t="shared" si="25"/>
        <v>-0.20000000001164153</v>
      </c>
      <c r="T80" s="6" t="s">
        <v>25</v>
      </c>
      <c r="V80" s="77" t="s">
        <v>191</v>
      </c>
      <c r="W80" s="77" t="s">
        <v>175</v>
      </c>
      <c r="X80" s="57">
        <v>45147</v>
      </c>
      <c r="Y80" s="9">
        <v>300000</v>
      </c>
      <c r="Z80" s="10">
        <f>Y80*0.19</f>
        <v>57000</v>
      </c>
      <c r="AA80" s="10">
        <f>Y80+Z80</f>
        <v>357000</v>
      </c>
      <c r="AB80" s="9">
        <f>Z80*0.15</f>
        <v>8550</v>
      </c>
      <c r="AC80" s="9">
        <f>Y80*11.04/1000</f>
        <v>3311.9999999999995</v>
      </c>
      <c r="AD80" s="10">
        <f>Y80*0.025</f>
        <v>7500</v>
      </c>
      <c r="AE80" s="9">
        <v>0</v>
      </c>
      <c r="AF80" s="9">
        <f>+AA80-AB80-AC80-AD80</f>
        <v>337638</v>
      </c>
      <c r="AG80" s="71">
        <v>0</v>
      </c>
    </row>
    <row r="81" spans="1:33" ht="16.5" customHeight="1">
      <c r="A81" s="143"/>
      <c r="B81" s="6" t="s">
        <v>223</v>
      </c>
      <c r="C81" s="6" t="s">
        <v>224</v>
      </c>
      <c r="D81" s="7" t="s">
        <v>47</v>
      </c>
      <c r="E81" s="8">
        <v>45189</v>
      </c>
      <c r="F81" s="7" t="s">
        <v>162</v>
      </c>
      <c r="G81" s="9">
        <v>3770000</v>
      </c>
      <c r="H81" s="10">
        <f t="shared" si="19"/>
        <v>716300</v>
      </c>
      <c r="I81" s="10">
        <f t="shared" si="20"/>
        <v>4486300</v>
      </c>
      <c r="J81" s="10">
        <f t="shared" si="26"/>
        <v>94250</v>
      </c>
      <c r="K81" s="10">
        <f t="shared" si="21"/>
        <v>41620.800000000003</v>
      </c>
      <c r="L81" s="10">
        <f t="shared" si="22"/>
        <v>107445</v>
      </c>
      <c r="M81" s="58"/>
      <c r="N81" s="10">
        <f t="shared" si="23"/>
        <v>243315.8</v>
      </c>
      <c r="O81" s="10">
        <f t="shared" si="24"/>
        <v>4242984.2</v>
      </c>
      <c r="P81" s="57">
        <v>45240</v>
      </c>
      <c r="Q81" s="6" t="s">
        <v>24</v>
      </c>
      <c r="R81" s="9">
        <v>4242984</v>
      </c>
      <c r="S81" s="10">
        <f t="shared" si="25"/>
        <v>0.20000000018626451</v>
      </c>
      <c r="T81" s="6" t="s">
        <v>25</v>
      </c>
      <c r="V81" s="77" t="s">
        <v>191</v>
      </c>
      <c r="W81" s="77" t="s">
        <v>195</v>
      </c>
      <c r="X81" s="57">
        <v>45156</v>
      </c>
      <c r="Y81" s="9">
        <v>4000000</v>
      </c>
      <c r="Z81" s="10">
        <f>Y81*0.19</f>
        <v>760000</v>
      </c>
      <c r="AA81" s="10">
        <f>Y81+Z81</f>
        <v>4760000</v>
      </c>
      <c r="AB81" s="9">
        <f>Z81*0.15</f>
        <v>114000</v>
      </c>
      <c r="AC81" s="9">
        <v>22080</v>
      </c>
      <c r="AD81" s="10">
        <f>Y81*0.025</f>
        <v>100000</v>
      </c>
      <c r="AE81" s="58">
        <v>37639</v>
      </c>
      <c r="AF81" s="9">
        <f>+AA81-AB81-AC81-AD81-AE81</f>
        <v>4486281</v>
      </c>
      <c r="AG81" s="71">
        <v>0</v>
      </c>
    </row>
    <row r="82" spans="1:33" ht="16.5" customHeight="1">
      <c r="A82" s="143"/>
      <c r="B82" s="6" t="s">
        <v>225</v>
      </c>
      <c r="C82" s="6" t="s">
        <v>31</v>
      </c>
      <c r="D82" s="7" t="s">
        <v>47</v>
      </c>
      <c r="E82" s="8">
        <v>45189</v>
      </c>
      <c r="F82" s="7" t="s">
        <v>197</v>
      </c>
      <c r="G82" s="9">
        <v>600000</v>
      </c>
      <c r="H82" s="10">
        <f t="shared" si="19"/>
        <v>114000</v>
      </c>
      <c r="I82" s="10">
        <f t="shared" si="20"/>
        <v>714000</v>
      </c>
      <c r="J82" s="10">
        <f t="shared" si="26"/>
        <v>15000</v>
      </c>
      <c r="K82" s="10">
        <f t="shared" si="21"/>
        <v>6623.9999999999991</v>
      </c>
      <c r="L82" s="10">
        <f t="shared" si="22"/>
        <v>17100</v>
      </c>
      <c r="M82" s="58"/>
      <c r="N82" s="10">
        <f t="shared" si="23"/>
        <v>38724</v>
      </c>
      <c r="O82" s="10">
        <f t="shared" si="24"/>
        <v>675276</v>
      </c>
      <c r="P82" s="57">
        <v>45240</v>
      </c>
      <c r="Q82" s="6" t="s">
        <v>24</v>
      </c>
      <c r="R82" s="9">
        <v>675276</v>
      </c>
      <c r="S82" s="10">
        <f t="shared" si="25"/>
        <v>0</v>
      </c>
      <c r="T82" s="6" t="s">
        <v>25</v>
      </c>
      <c r="U82" s="3"/>
      <c r="V82" s="77" t="s">
        <v>191</v>
      </c>
      <c r="W82" s="77" t="s">
        <v>196</v>
      </c>
      <c r="X82" s="57">
        <v>45156</v>
      </c>
      <c r="Y82" s="9">
        <v>6720000</v>
      </c>
      <c r="Z82" s="10">
        <f>Y82*0.19</f>
        <v>1276800</v>
      </c>
      <c r="AA82" s="10">
        <f>Y82+Z82</f>
        <v>7996800</v>
      </c>
      <c r="AB82" s="9">
        <f>Z82*0.15</f>
        <v>191520</v>
      </c>
      <c r="AC82" s="9">
        <f>Y82*11.04/1000</f>
        <v>74188.800000000003</v>
      </c>
      <c r="AD82" s="10">
        <f>Y82*0.025</f>
        <v>168000</v>
      </c>
      <c r="AE82" s="58">
        <v>125726</v>
      </c>
      <c r="AF82" s="9">
        <f>+AA82-AB82-AC82-AD82-AE82</f>
        <v>7437365.2000000002</v>
      </c>
      <c r="AG82" s="71">
        <v>0</v>
      </c>
    </row>
    <row r="83" spans="1:33" ht="16.5" customHeight="1">
      <c r="A83" s="143"/>
      <c r="B83" s="6" t="s">
        <v>226</v>
      </c>
      <c r="C83" s="6" t="s">
        <v>227</v>
      </c>
      <c r="D83" s="7" t="s">
        <v>47</v>
      </c>
      <c r="E83" s="8">
        <v>45189</v>
      </c>
      <c r="F83" s="7" t="s">
        <v>190</v>
      </c>
      <c r="G83" s="9">
        <v>99000</v>
      </c>
      <c r="H83" s="10">
        <f t="shared" si="19"/>
        <v>18810</v>
      </c>
      <c r="I83" s="10">
        <f t="shared" si="20"/>
        <v>117810</v>
      </c>
      <c r="J83" s="10">
        <f t="shared" si="26"/>
        <v>2475</v>
      </c>
      <c r="K83" s="10">
        <f t="shared" si="21"/>
        <v>1092.96</v>
      </c>
      <c r="L83" s="10">
        <f t="shared" si="22"/>
        <v>2821.5</v>
      </c>
      <c r="M83" s="58">
        <v>1852</v>
      </c>
      <c r="N83" s="10">
        <f t="shared" si="23"/>
        <v>8241.4599999999991</v>
      </c>
      <c r="O83" s="10">
        <f t="shared" si="24"/>
        <v>109568.54000000001</v>
      </c>
      <c r="P83" s="57">
        <v>45226</v>
      </c>
      <c r="Q83" s="6" t="s">
        <v>24</v>
      </c>
      <c r="R83" s="9">
        <v>109569</v>
      </c>
      <c r="S83" s="10">
        <f t="shared" si="25"/>
        <v>-0.45999999999185093</v>
      </c>
      <c r="T83" s="6" t="s">
        <v>25</v>
      </c>
      <c r="V83" s="72" t="s">
        <v>198</v>
      </c>
      <c r="W83" s="73" t="s">
        <v>199</v>
      </c>
      <c r="X83" s="74">
        <v>45139</v>
      </c>
      <c r="Y83" s="74"/>
      <c r="Z83" s="74"/>
      <c r="AA83" s="75">
        <v>-9488000</v>
      </c>
      <c r="AB83" s="140" t="s">
        <v>200</v>
      </c>
      <c r="AC83" s="140"/>
      <c r="AD83" s="140"/>
      <c r="AE83" s="140"/>
      <c r="AF83" s="140"/>
      <c r="AG83" s="75">
        <f>+AA83</f>
        <v>-9488000</v>
      </c>
    </row>
    <row r="84" spans="1:33" ht="16.5" customHeight="1">
      <c r="A84" s="143"/>
      <c r="B84" s="6" t="s">
        <v>228</v>
      </c>
      <c r="C84" s="6" t="s">
        <v>229</v>
      </c>
      <c r="D84" s="7" t="s">
        <v>47</v>
      </c>
      <c r="E84" s="8">
        <v>45189</v>
      </c>
      <c r="F84" s="7" t="s">
        <v>190</v>
      </c>
      <c r="G84" s="9">
        <v>330000</v>
      </c>
      <c r="H84" s="10">
        <f t="shared" si="19"/>
        <v>62700</v>
      </c>
      <c r="I84" s="10">
        <f t="shared" si="20"/>
        <v>392700</v>
      </c>
      <c r="J84" s="10">
        <f t="shared" si="26"/>
        <v>8250</v>
      </c>
      <c r="K84" s="10">
        <f t="shared" si="21"/>
        <v>3643.1999999999994</v>
      </c>
      <c r="L84" s="10">
        <f t="shared" si="22"/>
        <v>9405</v>
      </c>
      <c r="M84" s="58">
        <v>6174</v>
      </c>
      <c r="N84" s="10">
        <f t="shared" si="23"/>
        <v>27472.199999999997</v>
      </c>
      <c r="O84" s="10">
        <f t="shared" si="24"/>
        <v>365227.8</v>
      </c>
      <c r="P84" s="57">
        <v>45226</v>
      </c>
      <c r="Q84" s="6" t="s">
        <v>24</v>
      </c>
      <c r="R84" s="9">
        <v>365228</v>
      </c>
      <c r="S84" s="10">
        <f t="shared" si="25"/>
        <v>-0.20000000001164153</v>
      </c>
      <c r="T84" s="6" t="s">
        <v>25</v>
      </c>
      <c r="U84" s="3"/>
      <c r="V84" s="141" t="s">
        <v>202</v>
      </c>
      <c r="W84" s="141"/>
      <c r="X84" s="141"/>
      <c r="Y84" s="132"/>
      <c r="Z84" s="132"/>
      <c r="AA84" s="9">
        <f t="shared" ref="AA84:AF84" si="27">SUM(AA79:AA83)</f>
        <v>4048850</v>
      </c>
      <c r="AB84" s="9">
        <f t="shared" si="27"/>
        <v>314070</v>
      </c>
      <c r="AC84" s="9">
        <f t="shared" si="27"/>
        <v>99580.800000000003</v>
      </c>
      <c r="AD84" s="9">
        <f t="shared" si="27"/>
        <v>275500</v>
      </c>
      <c r="AE84" s="9">
        <f t="shared" si="27"/>
        <v>163365</v>
      </c>
      <c r="AF84" s="78">
        <f t="shared" si="27"/>
        <v>12684334.199999999</v>
      </c>
      <c r="AG84" s="7"/>
    </row>
    <row r="85" spans="1:33" ht="16.5" customHeight="1">
      <c r="A85" s="143"/>
      <c r="B85" s="6" t="s">
        <v>230</v>
      </c>
      <c r="C85" s="6" t="s">
        <v>231</v>
      </c>
      <c r="D85" s="7" t="s">
        <v>47</v>
      </c>
      <c r="E85" s="8">
        <v>45189</v>
      </c>
      <c r="F85" s="7" t="s">
        <v>147</v>
      </c>
      <c r="G85" s="9">
        <v>2500000</v>
      </c>
      <c r="H85" s="10">
        <f t="shared" si="19"/>
        <v>475000</v>
      </c>
      <c r="I85" s="10">
        <f t="shared" si="20"/>
        <v>2975000</v>
      </c>
      <c r="J85" s="10">
        <f>G85*0.04</f>
        <v>100000</v>
      </c>
      <c r="K85" s="10">
        <f t="shared" si="21"/>
        <v>27599.999999999996</v>
      </c>
      <c r="L85" s="10">
        <f t="shared" si="22"/>
        <v>71250</v>
      </c>
      <c r="M85" s="58"/>
      <c r="N85" s="10">
        <f t="shared" si="23"/>
        <v>198850</v>
      </c>
      <c r="O85" s="10">
        <f t="shared" si="24"/>
        <v>2776150</v>
      </c>
      <c r="P85" s="57">
        <v>45296</v>
      </c>
      <c r="Q85" s="6" t="s">
        <v>24</v>
      </c>
      <c r="R85" s="9">
        <v>2776150</v>
      </c>
      <c r="S85" s="10">
        <f t="shared" si="25"/>
        <v>0</v>
      </c>
      <c r="T85" s="6" t="s">
        <v>25</v>
      </c>
      <c r="U85" s="3"/>
      <c r="V85" s="141" t="s">
        <v>205</v>
      </c>
      <c r="W85" s="141"/>
      <c r="X85" s="141"/>
      <c r="Y85" s="141"/>
      <c r="Z85" s="141"/>
      <c r="AA85" s="141"/>
      <c r="AB85" s="141"/>
      <c r="AC85" s="141"/>
      <c r="AD85" s="141"/>
      <c r="AE85" s="141"/>
      <c r="AF85" s="142">
        <f>+AF84+AG83</f>
        <v>3196334.1999999993</v>
      </c>
      <c r="AG85" s="142"/>
    </row>
    <row r="86" spans="1:33" ht="16.5" customHeight="1">
      <c r="A86" s="143"/>
      <c r="B86" s="6" t="s">
        <v>232</v>
      </c>
      <c r="C86" s="6" t="s">
        <v>233</v>
      </c>
      <c r="D86" s="7" t="s">
        <v>47</v>
      </c>
      <c r="E86" s="8">
        <v>45189</v>
      </c>
      <c r="F86" s="7" t="s">
        <v>48</v>
      </c>
      <c r="G86" s="9">
        <v>410000</v>
      </c>
      <c r="H86" s="10">
        <f t="shared" si="19"/>
        <v>77900</v>
      </c>
      <c r="I86" s="10">
        <f t="shared" si="20"/>
        <v>487900</v>
      </c>
      <c r="J86" s="10"/>
      <c r="K86" s="10">
        <f t="shared" si="21"/>
        <v>4526.3999999999996</v>
      </c>
      <c r="L86" s="10">
        <f t="shared" si="22"/>
        <v>11685</v>
      </c>
      <c r="M86" s="58">
        <v>7876</v>
      </c>
      <c r="N86" s="10">
        <f t="shared" si="23"/>
        <v>24087.4</v>
      </c>
      <c r="O86" s="10">
        <f t="shared" si="24"/>
        <v>463812.6</v>
      </c>
      <c r="P86" s="57">
        <v>45226</v>
      </c>
      <c r="Q86" s="6" t="s">
        <v>24</v>
      </c>
      <c r="R86" s="9">
        <v>463813</v>
      </c>
      <c r="S86" s="10">
        <f t="shared" si="25"/>
        <v>-0.40000000002328306</v>
      </c>
      <c r="T86" s="6" t="s">
        <v>25</v>
      </c>
    </row>
    <row r="87" spans="1:33" ht="16.5" customHeight="1">
      <c r="A87" s="143"/>
      <c r="B87" s="6" t="s">
        <v>234</v>
      </c>
      <c r="C87" s="6" t="s">
        <v>235</v>
      </c>
      <c r="D87" s="7" t="s">
        <v>47</v>
      </c>
      <c r="E87" s="8">
        <v>45189</v>
      </c>
      <c r="F87" s="7" t="s">
        <v>217</v>
      </c>
      <c r="G87" s="9">
        <v>450000</v>
      </c>
      <c r="H87" s="10">
        <f t="shared" si="19"/>
        <v>85500</v>
      </c>
      <c r="I87" s="10">
        <f t="shared" si="20"/>
        <v>535500</v>
      </c>
      <c r="J87" s="10"/>
      <c r="K87" s="10">
        <f t="shared" si="21"/>
        <v>4968</v>
      </c>
      <c r="L87" s="10">
        <f t="shared" si="22"/>
        <v>12825</v>
      </c>
      <c r="M87" s="58"/>
      <c r="N87" s="10">
        <f t="shared" si="23"/>
        <v>17793</v>
      </c>
      <c r="O87" s="10">
        <f t="shared" si="24"/>
        <v>517707</v>
      </c>
      <c r="P87" s="57">
        <v>45240</v>
      </c>
      <c r="Q87" s="6" t="s">
        <v>24</v>
      </c>
      <c r="R87" s="9">
        <v>517707</v>
      </c>
      <c r="S87" s="10">
        <f t="shared" si="25"/>
        <v>0</v>
      </c>
      <c r="T87" s="6" t="s">
        <v>25</v>
      </c>
    </row>
    <row r="88" spans="1:33" ht="16.5" customHeight="1">
      <c r="A88" s="143"/>
      <c r="B88" s="6" t="s">
        <v>241</v>
      </c>
      <c r="C88" s="6" t="s">
        <v>21</v>
      </c>
      <c r="D88" s="7" t="s">
        <v>47</v>
      </c>
      <c r="E88" s="8">
        <v>45219</v>
      </c>
      <c r="F88" s="7" t="s">
        <v>242</v>
      </c>
      <c r="G88" s="9">
        <v>530000</v>
      </c>
      <c r="H88" s="10">
        <f t="shared" si="19"/>
        <v>100700</v>
      </c>
      <c r="I88" s="10">
        <f t="shared" si="20"/>
        <v>630700</v>
      </c>
      <c r="J88" s="10">
        <f>G88*0.025</f>
        <v>13250</v>
      </c>
      <c r="K88" s="10">
        <f t="shared" si="21"/>
        <v>5851.2</v>
      </c>
      <c r="L88" s="10">
        <f t="shared" si="22"/>
        <v>15105</v>
      </c>
      <c r="M88" s="58">
        <v>9916</v>
      </c>
      <c r="N88" s="10">
        <f t="shared" si="23"/>
        <v>44122.2</v>
      </c>
      <c r="O88" s="10">
        <f t="shared" si="24"/>
        <v>586577.80000000005</v>
      </c>
      <c r="P88" s="57">
        <v>45254</v>
      </c>
      <c r="Q88" s="6" t="s">
        <v>24</v>
      </c>
      <c r="R88" s="9">
        <v>586578</v>
      </c>
      <c r="S88" s="10">
        <f t="shared" si="25"/>
        <v>-0.19999999995343387</v>
      </c>
      <c r="T88" s="6" t="s">
        <v>25</v>
      </c>
    </row>
    <row r="89" spans="1:33" ht="15" customHeight="1">
      <c r="A89" s="143"/>
      <c r="B89" s="6" t="s">
        <v>243</v>
      </c>
      <c r="C89" s="6" t="s">
        <v>21</v>
      </c>
      <c r="D89" s="7" t="s">
        <v>47</v>
      </c>
      <c r="E89" s="8">
        <v>45219</v>
      </c>
      <c r="F89" s="7" t="s">
        <v>96</v>
      </c>
      <c r="G89" s="9">
        <v>380000</v>
      </c>
      <c r="H89" s="10">
        <f t="shared" si="19"/>
        <v>72200</v>
      </c>
      <c r="I89" s="10">
        <f t="shared" si="20"/>
        <v>452200</v>
      </c>
      <c r="J89" s="10">
        <f>G89*0.025</f>
        <v>9500</v>
      </c>
      <c r="K89" s="10">
        <f t="shared" si="21"/>
        <v>4195.2</v>
      </c>
      <c r="L89" s="10">
        <f t="shared" si="22"/>
        <v>10830</v>
      </c>
      <c r="M89" s="58">
        <v>7109</v>
      </c>
      <c r="N89" s="10">
        <f t="shared" si="23"/>
        <v>31634.2</v>
      </c>
      <c r="O89" s="10">
        <f t="shared" si="24"/>
        <v>420565.8</v>
      </c>
      <c r="P89" s="57">
        <v>45254</v>
      </c>
      <c r="Q89" s="6" t="s">
        <v>24</v>
      </c>
      <c r="R89" s="9">
        <v>420566</v>
      </c>
      <c r="S89" s="10">
        <f t="shared" si="25"/>
        <v>-0.20000000001164153</v>
      </c>
      <c r="T89" s="6" t="s">
        <v>25</v>
      </c>
    </row>
    <row r="90" spans="1:33">
      <c r="B90" s="1" t="s">
        <v>244</v>
      </c>
      <c r="C90" s="1" t="s">
        <v>21</v>
      </c>
      <c r="D90" t="s">
        <v>47</v>
      </c>
      <c r="E90" s="5">
        <v>45219</v>
      </c>
      <c r="F90" t="s">
        <v>190</v>
      </c>
      <c r="G90" s="107">
        <v>11000</v>
      </c>
      <c r="H90" s="3">
        <f t="shared" si="19"/>
        <v>2090</v>
      </c>
      <c r="I90" s="3">
        <f t="shared" si="20"/>
        <v>13090</v>
      </c>
      <c r="J90" s="3">
        <f>G90*0.025</f>
        <v>275</v>
      </c>
      <c r="K90" s="3">
        <f t="shared" si="21"/>
        <v>121.43999999999998</v>
      </c>
      <c r="L90" s="3">
        <f t="shared" si="22"/>
        <v>313.5</v>
      </c>
      <c r="M90" s="106">
        <v>206</v>
      </c>
      <c r="N90" s="3">
        <f t="shared" si="23"/>
        <v>915.94</v>
      </c>
      <c r="O90" s="3">
        <f t="shared" si="24"/>
        <v>12174.06</v>
      </c>
      <c r="P90" s="110">
        <v>45254</v>
      </c>
      <c r="Q90" s="1" t="s">
        <v>24</v>
      </c>
      <c r="R90" s="107">
        <v>12380</v>
      </c>
      <c r="S90" s="3">
        <f t="shared" si="25"/>
        <v>-205.94000000000051</v>
      </c>
      <c r="T90" s="1" t="s">
        <v>25</v>
      </c>
    </row>
    <row r="91" spans="1:33" ht="16.5" customHeight="1">
      <c r="A91" s="143"/>
      <c r="B91" s="6" t="s">
        <v>245</v>
      </c>
      <c r="C91" s="6" t="s">
        <v>21</v>
      </c>
      <c r="D91" s="7" t="s">
        <v>47</v>
      </c>
      <c r="E91" s="8">
        <v>45219</v>
      </c>
      <c r="F91" s="7" t="s">
        <v>151</v>
      </c>
      <c r="G91" s="9">
        <v>810000</v>
      </c>
      <c r="H91" s="10">
        <f t="shared" si="19"/>
        <v>153900</v>
      </c>
      <c r="I91" s="10">
        <f t="shared" si="20"/>
        <v>963900</v>
      </c>
      <c r="J91" s="10"/>
      <c r="K91" s="10">
        <f t="shared" si="21"/>
        <v>8942.4</v>
      </c>
      <c r="L91" s="10">
        <f t="shared" si="22"/>
        <v>23085</v>
      </c>
      <c r="M91" s="58"/>
      <c r="N91" s="10">
        <f t="shared" si="23"/>
        <v>32027.4</v>
      </c>
      <c r="O91" s="10">
        <f t="shared" si="24"/>
        <v>931872.6</v>
      </c>
      <c r="P91" s="57">
        <v>45280</v>
      </c>
      <c r="Q91" s="6" t="s">
        <v>24</v>
      </c>
      <c r="R91" s="9">
        <v>931873</v>
      </c>
      <c r="S91" s="10">
        <f t="shared" si="25"/>
        <v>-0.40000000002328306</v>
      </c>
      <c r="T91" s="6" t="s">
        <v>25</v>
      </c>
    </row>
    <row r="92" spans="1:33" ht="16.5" customHeight="1">
      <c r="A92" s="143"/>
      <c r="B92" s="6" t="s">
        <v>246</v>
      </c>
      <c r="C92" s="6" t="s">
        <v>21</v>
      </c>
      <c r="D92" s="7" t="s">
        <v>47</v>
      </c>
      <c r="E92" s="8">
        <v>45219</v>
      </c>
      <c r="F92" s="7" t="s">
        <v>247</v>
      </c>
      <c r="G92" s="9">
        <v>880000</v>
      </c>
      <c r="H92" s="10">
        <f t="shared" si="19"/>
        <v>167200</v>
      </c>
      <c r="I92" s="10">
        <f t="shared" si="20"/>
        <v>1047200</v>
      </c>
      <c r="J92" s="10">
        <f>G92*0.025</f>
        <v>22000</v>
      </c>
      <c r="K92" s="10">
        <f t="shared" si="21"/>
        <v>9715.2000000000007</v>
      </c>
      <c r="L92" s="10">
        <f t="shared" si="22"/>
        <v>25080</v>
      </c>
      <c r="M92" s="58"/>
      <c r="N92" s="10">
        <f t="shared" si="23"/>
        <v>56795.199999999997</v>
      </c>
      <c r="O92" s="10">
        <f t="shared" si="24"/>
        <v>990404.8</v>
      </c>
      <c r="P92" s="57">
        <v>45280</v>
      </c>
      <c r="Q92" s="6" t="s">
        <v>24</v>
      </c>
      <c r="R92" s="9">
        <v>990405</v>
      </c>
      <c r="S92" s="10">
        <f t="shared" si="25"/>
        <v>-0.19999999995343387</v>
      </c>
      <c r="T92" s="6" t="s">
        <v>25</v>
      </c>
    </row>
    <row r="93" spans="1:33" ht="16.5" customHeight="1">
      <c r="A93" s="143"/>
      <c r="B93" s="6" t="s">
        <v>248</v>
      </c>
      <c r="C93" s="6" t="s">
        <v>21</v>
      </c>
      <c r="D93" s="7" t="s">
        <v>47</v>
      </c>
      <c r="E93" s="8">
        <v>45219</v>
      </c>
      <c r="F93" s="7" t="s">
        <v>249</v>
      </c>
      <c r="G93" s="49">
        <v>870000</v>
      </c>
      <c r="H93" s="10">
        <f t="shared" si="19"/>
        <v>165300</v>
      </c>
      <c r="I93" s="10">
        <f t="shared" si="20"/>
        <v>1035300</v>
      </c>
      <c r="J93" s="10"/>
      <c r="K93" s="10">
        <f t="shared" si="21"/>
        <v>9604.7999999999993</v>
      </c>
      <c r="L93" s="10">
        <f t="shared" si="22"/>
        <v>24795</v>
      </c>
      <c r="M93" s="58">
        <v>16712</v>
      </c>
      <c r="N93" s="10">
        <f t="shared" si="23"/>
        <v>51111.8</v>
      </c>
      <c r="O93" s="10">
        <f t="shared" si="24"/>
        <v>984188.2</v>
      </c>
      <c r="P93" s="57">
        <v>45254</v>
      </c>
      <c r="Q93" s="6" t="s">
        <v>24</v>
      </c>
      <c r="R93" s="9">
        <v>984188</v>
      </c>
      <c r="S93" s="10">
        <f t="shared" si="25"/>
        <v>0.19999999995343387</v>
      </c>
      <c r="T93" s="6" t="s">
        <v>25</v>
      </c>
    </row>
    <row r="94" spans="1:33" ht="16.5" customHeight="1">
      <c r="A94" s="143"/>
      <c r="B94" s="6" t="s">
        <v>253</v>
      </c>
      <c r="C94" s="6" t="s">
        <v>21</v>
      </c>
      <c r="D94" s="7" t="s">
        <v>47</v>
      </c>
      <c r="E94" s="8">
        <v>45240</v>
      </c>
      <c r="F94" s="7" t="s">
        <v>254</v>
      </c>
      <c r="G94" s="49">
        <v>210000</v>
      </c>
      <c r="H94" s="10">
        <f t="shared" si="19"/>
        <v>39900</v>
      </c>
      <c r="I94" s="10">
        <f t="shared" si="20"/>
        <v>249900</v>
      </c>
      <c r="J94" s="10">
        <f>G94*0.025</f>
        <v>5250</v>
      </c>
      <c r="K94" s="10"/>
      <c r="L94" s="10">
        <f t="shared" si="22"/>
        <v>5985</v>
      </c>
      <c r="M94" s="58">
        <v>3975</v>
      </c>
      <c r="N94" s="10">
        <f t="shared" si="23"/>
        <v>15210</v>
      </c>
      <c r="O94" s="10">
        <f t="shared" si="24"/>
        <v>234690</v>
      </c>
      <c r="P94" s="57">
        <v>45280</v>
      </c>
      <c r="Q94" s="6" t="s">
        <v>24</v>
      </c>
      <c r="R94" s="9">
        <v>234690</v>
      </c>
      <c r="S94" s="10">
        <f t="shared" si="25"/>
        <v>0</v>
      </c>
      <c r="T94" s="6" t="s">
        <v>25</v>
      </c>
    </row>
    <row r="95" spans="1:33" ht="16.5" customHeight="1">
      <c r="A95" s="143"/>
      <c r="B95" s="6" t="s">
        <v>255</v>
      </c>
      <c r="C95" s="6" t="s">
        <v>21</v>
      </c>
      <c r="D95" s="7" t="s">
        <v>47</v>
      </c>
      <c r="E95" s="8">
        <v>45240</v>
      </c>
      <c r="F95" s="7" t="s">
        <v>256</v>
      </c>
      <c r="G95" s="49">
        <v>1760000</v>
      </c>
      <c r="H95" s="10">
        <f t="shared" si="19"/>
        <v>334400</v>
      </c>
      <c r="I95" s="10">
        <f t="shared" si="20"/>
        <v>2094400</v>
      </c>
      <c r="J95" s="10">
        <f>G95*0.025</f>
        <v>44000</v>
      </c>
      <c r="K95" s="10">
        <f>G95*11.04/1000</f>
        <v>19430.400000000001</v>
      </c>
      <c r="L95" s="10">
        <f t="shared" si="22"/>
        <v>50160</v>
      </c>
      <c r="M95" s="58">
        <v>16464</v>
      </c>
      <c r="N95" s="10">
        <f t="shared" si="23"/>
        <v>130054.39999999999</v>
      </c>
      <c r="O95" s="10">
        <f t="shared" si="24"/>
        <v>1964345.6</v>
      </c>
      <c r="P95" s="57">
        <v>45280</v>
      </c>
      <c r="Q95" s="6" t="s">
        <v>24</v>
      </c>
      <c r="R95" s="9">
        <v>1964346</v>
      </c>
      <c r="S95" s="10">
        <f t="shared" si="25"/>
        <v>-0.39999999990686774</v>
      </c>
      <c r="T95" s="6" t="s">
        <v>25</v>
      </c>
    </row>
    <row r="96" spans="1:33" ht="16.5" customHeight="1">
      <c r="A96" s="143"/>
      <c r="B96" s="6" t="s">
        <v>257</v>
      </c>
      <c r="C96" s="6" t="s">
        <v>21</v>
      </c>
      <c r="D96" s="7" t="s">
        <v>47</v>
      </c>
      <c r="E96" s="8">
        <v>45240</v>
      </c>
      <c r="F96" s="7" t="s">
        <v>82</v>
      </c>
      <c r="G96" s="49">
        <v>2000000</v>
      </c>
      <c r="H96" s="10">
        <f t="shared" si="19"/>
        <v>380000</v>
      </c>
      <c r="I96" s="10">
        <f t="shared" si="20"/>
        <v>2380000</v>
      </c>
      <c r="J96" s="10">
        <f>G96*0.025</f>
        <v>50000</v>
      </c>
      <c r="K96" s="10"/>
      <c r="L96" s="10">
        <f t="shared" si="22"/>
        <v>57000</v>
      </c>
      <c r="M96" s="58">
        <v>18930</v>
      </c>
      <c r="N96" s="10">
        <f t="shared" si="23"/>
        <v>125930</v>
      </c>
      <c r="O96" s="10">
        <f t="shared" si="24"/>
        <v>2254070</v>
      </c>
      <c r="P96" s="57">
        <v>45280</v>
      </c>
      <c r="Q96" s="6" t="s">
        <v>24</v>
      </c>
      <c r="R96" s="9">
        <v>2254070</v>
      </c>
      <c r="S96" s="10">
        <f t="shared" si="25"/>
        <v>0</v>
      </c>
      <c r="T96" s="6" t="s">
        <v>25</v>
      </c>
    </row>
    <row r="97" spans="1:20" ht="16.5" customHeight="1">
      <c r="A97" s="143"/>
      <c r="B97" s="6" t="s">
        <v>258</v>
      </c>
      <c r="C97" s="6" t="s">
        <v>21</v>
      </c>
      <c r="D97" s="7" t="s">
        <v>47</v>
      </c>
      <c r="E97" s="8">
        <v>45240</v>
      </c>
      <c r="F97" s="7" t="s">
        <v>259</v>
      </c>
      <c r="G97" s="49">
        <v>1200000</v>
      </c>
      <c r="H97" s="10">
        <f t="shared" si="19"/>
        <v>228000</v>
      </c>
      <c r="I97" s="10">
        <f t="shared" si="20"/>
        <v>1428000</v>
      </c>
      <c r="J97" s="10">
        <f>G97*0.025</f>
        <v>30000</v>
      </c>
      <c r="K97" s="10">
        <f>G97*11.04/1000</f>
        <v>13247.999999999998</v>
      </c>
      <c r="L97" s="10">
        <f t="shared" si="22"/>
        <v>34200</v>
      </c>
      <c r="M97" s="58">
        <v>22451</v>
      </c>
      <c r="N97" s="10">
        <f t="shared" si="23"/>
        <v>99899</v>
      </c>
      <c r="O97" s="10">
        <f t="shared" si="24"/>
        <v>1328101</v>
      </c>
      <c r="P97" s="57">
        <v>45280</v>
      </c>
      <c r="Q97" s="6" t="s">
        <v>24</v>
      </c>
      <c r="R97" s="9">
        <v>1328101</v>
      </c>
      <c r="S97" s="10">
        <f t="shared" si="25"/>
        <v>0</v>
      </c>
      <c r="T97" s="6" t="s">
        <v>25</v>
      </c>
    </row>
    <row r="98" spans="1:20" ht="16.5" customHeight="1">
      <c r="A98" s="143"/>
      <c r="B98" s="6" t="s">
        <v>260</v>
      </c>
      <c r="C98" s="6" t="s">
        <v>21</v>
      </c>
      <c r="D98" s="7" t="s">
        <v>47</v>
      </c>
      <c r="E98" s="8">
        <v>45240</v>
      </c>
      <c r="F98" s="7" t="s">
        <v>261</v>
      </c>
      <c r="G98" s="49">
        <v>1680000</v>
      </c>
      <c r="H98" s="10">
        <f t="shared" si="19"/>
        <v>319200</v>
      </c>
      <c r="I98" s="10">
        <f t="shared" si="20"/>
        <v>1999200</v>
      </c>
      <c r="J98" s="10">
        <f>G98*0.025</f>
        <v>42000</v>
      </c>
      <c r="K98" s="10">
        <f>G98*11.04/1000</f>
        <v>18547.2</v>
      </c>
      <c r="L98" s="10">
        <f t="shared" si="22"/>
        <v>47880</v>
      </c>
      <c r="M98" s="58">
        <v>0</v>
      </c>
      <c r="N98" s="10">
        <f t="shared" si="23"/>
        <v>108427.2</v>
      </c>
      <c r="O98" s="10">
        <f t="shared" si="24"/>
        <v>1890772.8</v>
      </c>
      <c r="P98" s="57">
        <v>45296</v>
      </c>
      <c r="Q98" s="6" t="s">
        <v>24</v>
      </c>
      <c r="R98" s="9">
        <v>1890773</v>
      </c>
      <c r="S98" s="10">
        <f t="shared" si="25"/>
        <v>-0.19999999995343387</v>
      </c>
      <c r="T98" s="6" t="s">
        <v>25</v>
      </c>
    </row>
    <row r="99" spans="1:20" ht="16.5" customHeight="1">
      <c r="A99" s="143"/>
      <c r="B99" s="6" t="s">
        <v>262</v>
      </c>
      <c r="C99" s="6" t="s">
        <v>21</v>
      </c>
      <c r="D99" s="7" t="s">
        <v>47</v>
      </c>
      <c r="E99" s="8">
        <v>45248</v>
      </c>
      <c r="F99" s="7" t="s">
        <v>82</v>
      </c>
      <c r="G99" s="49">
        <v>4000000</v>
      </c>
      <c r="H99" s="10">
        <f t="shared" si="19"/>
        <v>760000</v>
      </c>
      <c r="I99" s="10">
        <f t="shared" si="20"/>
        <v>4760000</v>
      </c>
      <c r="J99" s="7"/>
      <c r="K99" s="7"/>
      <c r="L99" s="7"/>
      <c r="M99" s="58">
        <v>0</v>
      </c>
      <c r="N99" s="10">
        <f t="shared" si="23"/>
        <v>0</v>
      </c>
      <c r="O99" s="10">
        <f t="shared" si="24"/>
        <v>4760000</v>
      </c>
      <c r="P99" s="7"/>
      <c r="Q99" s="6"/>
      <c r="R99" s="9"/>
      <c r="S99" s="10">
        <f t="shared" si="25"/>
        <v>4760000</v>
      </c>
      <c r="T99" s="6"/>
    </row>
    <row r="100" spans="1:20" ht="16.5" customHeight="1">
      <c r="A100" s="143"/>
      <c r="B100" s="6" t="s">
        <v>264</v>
      </c>
      <c r="C100" s="6" t="s">
        <v>21</v>
      </c>
      <c r="D100" s="7" t="s">
        <v>47</v>
      </c>
      <c r="E100" s="8">
        <v>45248</v>
      </c>
      <c r="F100" s="7" t="s">
        <v>82</v>
      </c>
      <c r="G100" s="49">
        <v>4000000</v>
      </c>
      <c r="H100" s="10">
        <f t="shared" si="19"/>
        <v>760000</v>
      </c>
      <c r="I100" s="10">
        <f t="shared" si="20"/>
        <v>4760000</v>
      </c>
      <c r="J100" s="10">
        <f>G100*0.025</f>
        <v>100000</v>
      </c>
      <c r="K100" s="10">
        <f>G100*11.04/1000</f>
        <v>44160</v>
      </c>
      <c r="L100" s="10">
        <f>H100*0.15</f>
        <v>114000</v>
      </c>
      <c r="M100" s="58">
        <v>37418</v>
      </c>
      <c r="N100" s="10">
        <f t="shared" si="23"/>
        <v>295578</v>
      </c>
      <c r="O100" s="10">
        <f t="shared" si="24"/>
        <v>4464422</v>
      </c>
      <c r="P100" s="57">
        <v>45287</v>
      </c>
      <c r="Q100" s="6" t="s">
        <v>24</v>
      </c>
      <c r="R100" s="9">
        <v>4464422</v>
      </c>
      <c r="S100" s="10">
        <f t="shared" si="25"/>
        <v>0</v>
      </c>
      <c r="T100" s="6" t="s">
        <v>25</v>
      </c>
    </row>
    <row r="101" spans="1:20" ht="16.5" customHeight="1">
      <c r="A101" s="143"/>
      <c r="B101" s="6" t="s">
        <v>265</v>
      </c>
      <c r="C101" s="6" t="s">
        <v>21</v>
      </c>
      <c r="D101" s="7" t="s">
        <v>47</v>
      </c>
      <c r="E101" s="8">
        <v>45248</v>
      </c>
      <c r="F101" s="7" t="s">
        <v>82</v>
      </c>
      <c r="G101" s="49">
        <v>2000000</v>
      </c>
      <c r="H101" s="10">
        <f t="shared" si="19"/>
        <v>380000</v>
      </c>
      <c r="I101" s="10">
        <f t="shared" si="20"/>
        <v>2380000</v>
      </c>
      <c r="J101" s="7"/>
      <c r="K101" s="7"/>
      <c r="L101" s="7"/>
      <c r="M101" s="58">
        <v>0</v>
      </c>
      <c r="N101" s="10">
        <f t="shared" si="23"/>
        <v>0</v>
      </c>
      <c r="O101" s="10">
        <f t="shared" si="24"/>
        <v>2380000</v>
      </c>
      <c r="P101" s="7"/>
      <c r="Q101" s="6"/>
      <c r="R101" s="9"/>
      <c r="S101" s="10">
        <f t="shared" si="25"/>
        <v>2380000</v>
      </c>
      <c r="T101" s="6"/>
    </row>
    <row r="102" spans="1:20" ht="16.5" customHeight="1">
      <c r="A102" s="143"/>
      <c r="B102" s="6" t="s">
        <v>266</v>
      </c>
      <c r="C102" s="6" t="s">
        <v>21</v>
      </c>
      <c r="D102" s="7" t="s">
        <v>47</v>
      </c>
      <c r="E102" s="8">
        <v>45248</v>
      </c>
      <c r="F102" s="7" t="s">
        <v>267</v>
      </c>
      <c r="G102" s="49">
        <v>3400000</v>
      </c>
      <c r="H102" s="10">
        <f t="shared" si="19"/>
        <v>646000</v>
      </c>
      <c r="I102" s="10">
        <f t="shared" si="20"/>
        <v>4046000</v>
      </c>
      <c r="J102" s="10">
        <f>G102*0.04</f>
        <v>136000</v>
      </c>
      <c r="K102" s="10">
        <f>G102*11.04/1000</f>
        <v>37536</v>
      </c>
      <c r="L102" s="10">
        <f>H102*0.15</f>
        <v>96900</v>
      </c>
      <c r="M102" s="58">
        <v>62591</v>
      </c>
      <c r="N102" s="10">
        <f t="shared" si="23"/>
        <v>333027</v>
      </c>
      <c r="O102" s="10">
        <f t="shared" si="24"/>
        <v>3712973</v>
      </c>
      <c r="P102" s="57">
        <v>45287</v>
      </c>
      <c r="Q102" s="6" t="s">
        <v>24</v>
      </c>
      <c r="R102" s="9">
        <v>3712973</v>
      </c>
      <c r="S102" s="10">
        <f t="shared" si="25"/>
        <v>0</v>
      </c>
      <c r="T102" s="6" t="s">
        <v>25</v>
      </c>
    </row>
    <row r="103" spans="1:20" ht="16.5" customHeight="1">
      <c r="A103" s="143"/>
      <c r="B103" s="6" t="s">
        <v>268</v>
      </c>
      <c r="C103" s="6" t="s">
        <v>21</v>
      </c>
      <c r="D103" s="7" t="s">
        <v>47</v>
      </c>
      <c r="E103" s="8">
        <v>45248</v>
      </c>
      <c r="F103" s="7" t="s">
        <v>269</v>
      </c>
      <c r="G103" s="49">
        <v>1200000</v>
      </c>
      <c r="H103" s="10">
        <f t="shared" si="19"/>
        <v>228000</v>
      </c>
      <c r="I103" s="10">
        <f t="shared" si="20"/>
        <v>1428000</v>
      </c>
      <c r="J103" s="10">
        <f>G103*0.025</f>
        <v>30000</v>
      </c>
      <c r="K103" s="10">
        <f>G103*11.04/1000</f>
        <v>13247.999999999998</v>
      </c>
      <c r="L103" s="10">
        <f>H103*0.15</f>
        <v>34200</v>
      </c>
      <c r="M103" s="58">
        <v>22451</v>
      </c>
      <c r="N103" s="10">
        <f t="shared" si="23"/>
        <v>99899</v>
      </c>
      <c r="O103" s="10">
        <f t="shared" si="24"/>
        <v>1328101</v>
      </c>
      <c r="P103" s="57">
        <v>45287</v>
      </c>
      <c r="Q103" s="6" t="s">
        <v>24</v>
      </c>
      <c r="R103" s="9">
        <v>1328101</v>
      </c>
      <c r="S103" s="10">
        <f t="shared" si="25"/>
        <v>0</v>
      </c>
      <c r="T103" s="6" t="s">
        <v>25</v>
      </c>
    </row>
    <row r="104" spans="1:20" ht="16.5" customHeight="1">
      <c r="A104" s="143"/>
      <c r="B104" s="6" t="s">
        <v>270</v>
      </c>
      <c r="C104" s="6" t="s">
        <v>21</v>
      </c>
      <c r="D104" s="7" t="s">
        <v>47</v>
      </c>
      <c r="E104" s="8">
        <v>45248</v>
      </c>
      <c r="F104" s="7" t="s">
        <v>269</v>
      </c>
      <c r="G104" s="49">
        <v>600000</v>
      </c>
      <c r="H104" s="10">
        <f t="shared" si="19"/>
        <v>114000</v>
      </c>
      <c r="I104" s="10">
        <f t="shared" si="20"/>
        <v>714000</v>
      </c>
      <c r="J104" s="10">
        <f>G104*0.025</f>
        <v>15000</v>
      </c>
      <c r="K104" s="10">
        <f>G104*11.04/1000</f>
        <v>6623.9999999999991</v>
      </c>
      <c r="L104" s="10">
        <f>H104*0.15</f>
        <v>17100</v>
      </c>
      <c r="M104" s="58">
        <v>11226</v>
      </c>
      <c r="N104" s="10">
        <f t="shared" si="23"/>
        <v>49950</v>
      </c>
      <c r="O104" s="10">
        <f t="shared" si="24"/>
        <v>664050</v>
      </c>
      <c r="P104" s="57">
        <v>45287</v>
      </c>
      <c r="Q104" s="6" t="s">
        <v>24</v>
      </c>
      <c r="R104" s="9">
        <v>664050</v>
      </c>
      <c r="S104" s="10">
        <f t="shared" si="25"/>
        <v>0</v>
      </c>
      <c r="T104" s="6" t="s">
        <v>25</v>
      </c>
    </row>
    <row r="105" spans="1:20" ht="16.5" customHeight="1">
      <c r="A105" s="143"/>
      <c r="B105" s="6" t="s">
        <v>271</v>
      </c>
      <c r="C105" s="6" t="s">
        <v>21</v>
      </c>
      <c r="D105" s="7" t="s">
        <v>47</v>
      </c>
      <c r="E105" s="8">
        <v>45248</v>
      </c>
      <c r="F105" s="7" t="s">
        <v>151</v>
      </c>
      <c r="G105" s="49">
        <v>3900000</v>
      </c>
      <c r="H105" s="10">
        <f t="shared" si="19"/>
        <v>741000</v>
      </c>
      <c r="I105" s="10">
        <f t="shared" si="20"/>
        <v>4641000</v>
      </c>
      <c r="J105" s="7"/>
      <c r="K105" s="7"/>
      <c r="L105" s="7"/>
      <c r="M105" s="58">
        <v>0</v>
      </c>
      <c r="N105" s="10">
        <f t="shared" si="23"/>
        <v>0</v>
      </c>
      <c r="O105" s="10">
        <f t="shared" si="24"/>
        <v>4641000</v>
      </c>
      <c r="P105" s="7"/>
      <c r="Q105" s="6"/>
      <c r="R105" s="9"/>
      <c r="S105" s="10">
        <f t="shared" si="25"/>
        <v>4641000</v>
      </c>
      <c r="T105" s="6"/>
    </row>
    <row r="106" spans="1:20">
      <c r="A106" s="143"/>
      <c r="B106" s="6" t="s">
        <v>272</v>
      </c>
      <c r="C106" s="6" t="s">
        <v>21</v>
      </c>
      <c r="D106" s="7" t="s">
        <v>47</v>
      </c>
      <c r="E106" s="8">
        <v>45248</v>
      </c>
      <c r="F106" s="7" t="s">
        <v>151</v>
      </c>
      <c r="G106" s="49">
        <v>390000</v>
      </c>
      <c r="H106" s="10">
        <f t="shared" si="19"/>
        <v>74100</v>
      </c>
      <c r="I106" s="10">
        <f t="shared" si="20"/>
        <v>464100</v>
      </c>
      <c r="J106" s="10">
        <f>G106*0.04</f>
        <v>15600</v>
      </c>
      <c r="K106" s="10">
        <f t="shared" ref="K106:K126" si="28">G106*11.04/1000</f>
        <v>4305.6000000000004</v>
      </c>
      <c r="L106" s="10">
        <f t="shared" ref="L106:L126" si="29">H106*0.15</f>
        <v>11115</v>
      </c>
      <c r="M106" s="58">
        <v>0</v>
      </c>
      <c r="N106" s="10">
        <f t="shared" si="23"/>
        <v>31020.6</v>
      </c>
      <c r="O106" s="10">
        <f t="shared" si="24"/>
        <v>433079.4</v>
      </c>
      <c r="P106" s="57">
        <v>45296</v>
      </c>
      <c r="Q106" s="6" t="s">
        <v>24</v>
      </c>
      <c r="R106" s="9">
        <v>433079</v>
      </c>
      <c r="S106" s="10">
        <f t="shared" si="25"/>
        <v>0.40000000002328306</v>
      </c>
      <c r="T106" s="6" t="s">
        <v>25</v>
      </c>
    </row>
    <row r="107" spans="1:20">
      <c r="B107" s="1" t="s">
        <v>274</v>
      </c>
      <c r="C107" s="1" t="s">
        <v>21</v>
      </c>
      <c r="D107" t="s">
        <v>47</v>
      </c>
      <c r="E107" s="5">
        <v>45280</v>
      </c>
      <c r="F107" s="109" t="s">
        <v>275</v>
      </c>
      <c r="G107" s="105">
        <v>2700000</v>
      </c>
      <c r="H107" s="3">
        <f t="shared" si="19"/>
        <v>513000</v>
      </c>
      <c r="I107" s="3">
        <f t="shared" si="20"/>
        <v>3213000</v>
      </c>
      <c r="J107" s="3">
        <f t="shared" ref="J107:J114" si="30">G107*0.025</f>
        <v>67500</v>
      </c>
      <c r="K107" s="3">
        <f t="shared" si="28"/>
        <v>29807.999999999996</v>
      </c>
      <c r="L107" s="3">
        <f t="shared" si="29"/>
        <v>76950</v>
      </c>
      <c r="M107" s="106">
        <v>50515</v>
      </c>
      <c r="N107" s="3">
        <f t="shared" si="23"/>
        <v>224773</v>
      </c>
      <c r="O107" s="3">
        <f t="shared" si="24"/>
        <v>2988227</v>
      </c>
      <c r="P107" s="110">
        <v>45317</v>
      </c>
      <c r="Q107" s="1" t="s">
        <v>24</v>
      </c>
      <c r="R107" s="107">
        <v>2988227</v>
      </c>
      <c r="S107" s="3">
        <f t="shared" si="25"/>
        <v>0</v>
      </c>
      <c r="T107" s="1" t="s">
        <v>25</v>
      </c>
    </row>
    <row r="108" spans="1:20" ht="16.5" customHeight="1">
      <c r="A108" s="143"/>
      <c r="B108" s="6" t="s">
        <v>276</v>
      </c>
      <c r="C108" s="6" t="s">
        <v>21</v>
      </c>
      <c r="D108" s="7" t="s">
        <v>47</v>
      </c>
      <c r="E108" s="8">
        <v>45280</v>
      </c>
      <c r="F108" s="108" t="s">
        <v>275</v>
      </c>
      <c r="G108" s="49">
        <v>2700000</v>
      </c>
      <c r="H108" s="10">
        <f t="shared" si="19"/>
        <v>513000</v>
      </c>
      <c r="I108" s="10">
        <f t="shared" si="20"/>
        <v>3213000</v>
      </c>
      <c r="J108" s="10">
        <f t="shared" si="30"/>
        <v>67500</v>
      </c>
      <c r="K108" s="10">
        <f t="shared" si="28"/>
        <v>29807.999999999996</v>
      </c>
      <c r="L108" s="10">
        <f t="shared" si="29"/>
        <v>76950</v>
      </c>
      <c r="M108" s="58">
        <v>505148</v>
      </c>
      <c r="N108" s="10">
        <f t="shared" si="23"/>
        <v>679406</v>
      </c>
      <c r="O108" s="10">
        <f t="shared" si="24"/>
        <v>2533594</v>
      </c>
      <c r="P108" s="57">
        <v>45317</v>
      </c>
      <c r="Q108" s="6" t="s">
        <v>24</v>
      </c>
      <c r="R108" s="9">
        <v>2533594</v>
      </c>
      <c r="S108" s="10">
        <f t="shared" si="25"/>
        <v>0</v>
      </c>
      <c r="T108" s="6" t="s">
        <v>25</v>
      </c>
    </row>
    <row r="109" spans="1:20" ht="16.5" customHeight="1">
      <c r="A109" s="143"/>
      <c r="B109" s="6" t="s">
        <v>277</v>
      </c>
      <c r="C109" s="6" t="s">
        <v>21</v>
      </c>
      <c r="D109" s="7" t="s">
        <v>47</v>
      </c>
      <c r="E109" s="8">
        <v>45280</v>
      </c>
      <c r="F109" s="7" t="s">
        <v>278</v>
      </c>
      <c r="G109" s="49">
        <v>4550000</v>
      </c>
      <c r="H109" s="10">
        <f t="shared" si="19"/>
        <v>864500</v>
      </c>
      <c r="I109" s="10">
        <f t="shared" si="20"/>
        <v>5414500</v>
      </c>
      <c r="J109" s="10">
        <f t="shared" si="30"/>
        <v>113750</v>
      </c>
      <c r="K109" s="10">
        <f t="shared" si="28"/>
        <v>50231.999999999993</v>
      </c>
      <c r="L109" s="10">
        <f t="shared" si="29"/>
        <v>129675</v>
      </c>
      <c r="M109" s="58">
        <v>85127</v>
      </c>
      <c r="N109" s="10">
        <f t="shared" si="23"/>
        <v>378784</v>
      </c>
      <c r="O109" s="10">
        <f t="shared" si="24"/>
        <v>5035716</v>
      </c>
      <c r="P109" s="57">
        <v>45317</v>
      </c>
      <c r="Q109" s="6" t="s">
        <v>24</v>
      </c>
      <c r="R109" s="9">
        <v>5035716</v>
      </c>
      <c r="S109" s="10">
        <f t="shared" si="25"/>
        <v>0</v>
      </c>
      <c r="T109" s="6" t="s">
        <v>25</v>
      </c>
    </row>
    <row r="110" spans="1:20" ht="16.5" customHeight="1">
      <c r="A110" s="143"/>
      <c r="B110" s="6" t="s">
        <v>279</v>
      </c>
      <c r="C110" s="6" t="s">
        <v>21</v>
      </c>
      <c r="D110" s="7" t="s">
        <v>47</v>
      </c>
      <c r="E110" s="8">
        <v>45280</v>
      </c>
      <c r="F110" s="108" t="s">
        <v>280</v>
      </c>
      <c r="G110" s="49">
        <v>3840000</v>
      </c>
      <c r="H110" s="10">
        <f t="shared" ref="H110:H129" si="31">G110*0.19</f>
        <v>729600</v>
      </c>
      <c r="I110" s="10">
        <f t="shared" ref="I110:I129" si="32">G110+H110</f>
        <v>4569600</v>
      </c>
      <c r="J110" s="10">
        <f t="shared" si="30"/>
        <v>96000</v>
      </c>
      <c r="K110" s="10">
        <f t="shared" si="28"/>
        <v>42393.599999999999</v>
      </c>
      <c r="L110" s="10">
        <f t="shared" si="29"/>
        <v>109440</v>
      </c>
      <c r="M110" s="58">
        <v>71843</v>
      </c>
      <c r="N110" s="10">
        <f t="shared" ref="N110:N126" si="33">SUM(J110:M110)</f>
        <v>319676.59999999998</v>
      </c>
      <c r="O110" s="10">
        <f t="shared" ref="O110:O129" si="34">+I110-N110</f>
        <v>4249923.4000000004</v>
      </c>
      <c r="P110" s="57">
        <v>45317</v>
      </c>
      <c r="Q110" s="6" t="s">
        <v>24</v>
      </c>
      <c r="R110" s="9">
        <v>4249923</v>
      </c>
      <c r="S110" s="10">
        <f t="shared" ref="S110:S129" si="35">+O110-R110</f>
        <v>0.40000000037252903</v>
      </c>
      <c r="T110" s="6" t="s">
        <v>25</v>
      </c>
    </row>
    <row r="111" spans="1:20" ht="16.5" customHeight="1">
      <c r="A111" s="143"/>
      <c r="B111" s="6" t="s">
        <v>281</v>
      </c>
      <c r="C111" s="6" t="s">
        <v>21</v>
      </c>
      <c r="D111" s="7" t="s">
        <v>47</v>
      </c>
      <c r="E111" s="8">
        <v>45280</v>
      </c>
      <c r="F111" s="7" t="s">
        <v>278</v>
      </c>
      <c r="G111" s="49">
        <v>2100000</v>
      </c>
      <c r="H111" s="10">
        <f t="shared" si="31"/>
        <v>399000</v>
      </c>
      <c r="I111" s="10">
        <f t="shared" si="32"/>
        <v>2499000</v>
      </c>
      <c r="J111" s="10">
        <f t="shared" si="30"/>
        <v>52500</v>
      </c>
      <c r="K111" s="10">
        <f t="shared" si="28"/>
        <v>23184</v>
      </c>
      <c r="L111" s="10">
        <f t="shared" si="29"/>
        <v>59850</v>
      </c>
      <c r="M111" s="58">
        <v>39289</v>
      </c>
      <c r="N111" s="10">
        <f t="shared" si="33"/>
        <v>174823</v>
      </c>
      <c r="O111" s="10">
        <f t="shared" si="34"/>
        <v>2324177</v>
      </c>
      <c r="P111" s="57">
        <v>45317</v>
      </c>
      <c r="Q111" s="6" t="s">
        <v>24</v>
      </c>
      <c r="R111" s="9">
        <v>2324177</v>
      </c>
      <c r="S111" s="10">
        <f t="shared" si="35"/>
        <v>0</v>
      </c>
      <c r="T111" s="6" t="s">
        <v>25</v>
      </c>
    </row>
    <row r="112" spans="1:20" ht="16.5" customHeight="1">
      <c r="A112" s="143"/>
      <c r="B112" s="6" t="s">
        <v>282</v>
      </c>
      <c r="C112" s="6" t="s">
        <v>21</v>
      </c>
      <c r="D112" s="7" t="s">
        <v>47</v>
      </c>
      <c r="E112" s="8">
        <v>45280</v>
      </c>
      <c r="F112" s="108" t="s">
        <v>278</v>
      </c>
      <c r="G112" s="49">
        <v>3250000</v>
      </c>
      <c r="H112" s="10">
        <f t="shared" si="31"/>
        <v>617500</v>
      </c>
      <c r="I112" s="10">
        <f t="shared" si="32"/>
        <v>3867500</v>
      </c>
      <c r="J112" s="10">
        <f t="shared" si="30"/>
        <v>81250</v>
      </c>
      <c r="K112" s="10">
        <f t="shared" si="28"/>
        <v>35880</v>
      </c>
      <c r="L112" s="10">
        <f t="shared" si="29"/>
        <v>92625</v>
      </c>
      <c r="M112" s="58">
        <v>60805</v>
      </c>
      <c r="N112" s="10">
        <f t="shared" si="33"/>
        <v>270560</v>
      </c>
      <c r="O112" s="10">
        <f t="shared" si="34"/>
        <v>3596940</v>
      </c>
      <c r="P112" s="57">
        <v>45317</v>
      </c>
      <c r="Q112" s="6" t="s">
        <v>24</v>
      </c>
      <c r="R112" s="9">
        <v>3596940</v>
      </c>
      <c r="S112" s="10">
        <f t="shared" si="35"/>
        <v>0</v>
      </c>
      <c r="T112" s="6" t="s">
        <v>25</v>
      </c>
    </row>
    <row r="113" spans="1:20" ht="16.5" customHeight="1">
      <c r="A113" s="143"/>
      <c r="B113" s="6" t="s">
        <v>283</v>
      </c>
      <c r="C113" s="6" t="s">
        <v>21</v>
      </c>
      <c r="D113" s="7" t="s">
        <v>47</v>
      </c>
      <c r="E113" s="8">
        <v>45280</v>
      </c>
      <c r="F113" s="108" t="s">
        <v>284</v>
      </c>
      <c r="G113" s="49">
        <v>890000</v>
      </c>
      <c r="H113" s="10">
        <f t="shared" si="31"/>
        <v>169100</v>
      </c>
      <c r="I113" s="10">
        <f t="shared" si="32"/>
        <v>1059100</v>
      </c>
      <c r="J113" s="10">
        <f t="shared" si="30"/>
        <v>22250</v>
      </c>
      <c r="K113" s="10">
        <f t="shared" si="28"/>
        <v>9825.6</v>
      </c>
      <c r="L113" s="10">
        <f t="shared" si="29"/>
        <v>25365</v>
      </c>
      <c r="M113" s="58">
        <v>8326</v>
      </c>
      <c r="N113" s="10">
        <f t="shared" si="33"/>
        <v>65766.600000000006</v>
      </c>
      <c r="O113" s="10">
        <f t="shared" si="34"/>
        <v>993333.4</v>
      </c>
      <c r="P113" s="57">
        <v>45317</v>
      </c>
      <c r="Q113" s="6" t="s">
        <v>24</v>
      </c>
      <c r="R113" s="9">
        <v>993333</v>
      </c>
      <c r="S113" s="10">
        <f t="shared" si="35"/>
        <v>0.40000000002328306</v>
      </c>
      <c r="T113" s="6" t="s">
        <v>25</v>
      </c>
    </row>
    <row r="114" spans="1:20" ht="16.5" customHeight="1">
      <c r="A114" s="143"/>
      <c r="B114" s="6" t="s">
        <v>285</v>
      </c>
      <c r="C114" s="6" t="s">
        <v>21</v>
      </c>
      <c r="D114" s="7" t="s">
        <v>47</v>
      </c>
      <c r="E114" s="8">
        <v>45280</v>
      </c>
      <c r="F114" s="7" t="s">
        <v>249</v>
      </c>
      <c r="G114" s="49">
        <v>290000</v>
      </c>
      <c r="H114" s="10">
        <f t="shared" si="31"/>
        <v>55100</v>
      </c>
      <c r="I114" s="10">
        <f t="shared" si="32"/>
        <v>345100</v>
      </c>
      <c r="J114" s="10">
        <f t="shared" si="30"/>
        <v>7250</v>
      </c>
      <c r="K114" s="10">
        <f t="shared" si="28"/>
        <v>3201.5999999999995</v>
      </c>
      <c r="L114" s="10">
        <f t="shared" si="29"/>
        <v>8265</v>
      </c>
      <c r="M114" s="58">
        <v>5426</v>
      </c>
      <c r="N114" s="10">
        <f t="shared" si="33"/>
        <v>24142.6</v>
      </c>
      <c r="O114" s="10">
        <f t="shared" si="34"/>
        <v>320957.40000000002</v>
      </c>
      <c r="P114" s="57">
        <v>45317</v>
      </c>
      <c r="Q114" s="6" t="s">
        <v>24</v>
      </c>
      <c r="R114" s="9">
        <v>320957</v>
      </c>
      <c r="S114" s="10">
        <f t="shared" si="35"/>
        <v>0.40000000002328306</v>
      </c>
      <c r="T114" s="6" t="s">
        <v>25</v>
      </c>
    </row>
    <row r="115" spans="1:20">
      <c r="A115" s="143"/>
      <c r="B115" s="6" t="s">
        <v>287</v>
      </c>
      <c r="C115" s="6" t="s">
        <v>21</v>
      </c>
      <c r="D115" s="7" t="s">
        <v>47</v>
      </c>
      <c r="E115" s="8">
        <v>45280</v>
      </c>
      <c r="F115" s="7" t="s">
        <v>151</v>
      </c>
      <c r="G115" s="49">
        <v>1580000</v>
      </c>
      <c r="H115" s="10">
        <f t="shared" si="31"/>
        <v>300200</v>
      </c>
      <c r="I115" s="10">
        <f t="shared" si="32"/>
        <v>1880200</v>
      </c>
      <c r="J115" s="10">
        <f t="shared" ref="J115:J122" si="36">G115*0.04</f>
        <v>63200</v>
      </c>
      <c r="K115" s="10">
        <f t="shared" si="28"/>
        <v>17443.2</v>
      </c>
      <c r="L115" s="10">
        <f t="shared" si="29"/>
        <v>45030</v>
      </c>
      <c r="M115" s="58"/>
      <c r="N115" s="10">
        <f t="shared" si="33"/>
        <v>125673.2</v>
      </c>
      <c r="O115" s="10">
        <f t="shared" si="34"/>
        <v>1754526.8</v>
      </c>
      <c r="P115" s="57">
        <v>45357</v>
      </c>
      <c r="Q115" s="6" t="s">
        <v>24</v>
      </c>
      <c r="R115" s="9">
        <v>1754527</v>
      </c>
      <c r="S115" s="10">
        <f t="shared" si="35"/>
        <v>-0.19999999995343387</v>
      </c>
      <c r="T115" s="6" t="s">
        <v>25</v>
      </c>
    </row>
    <row r="116" spans="1:20">
      <c r="A116" s="143"/>
      <c r="B116" s="86" t="s">
        <v>288</v>
      </c>
      <c r="C116" s="86" t="s">
        <v>21</v>
      </c>
      <c r="D116" s="7" t="s">
        <v>47</v>
      </c>
      <c r="E116" s="8">
        <v>45280</v>
      </c>
      <c r="F116" s="7" t="s">
        <v>151</v>
      </c>
      <c r="G116" s="49">
        <v>890000</v>
      </c>
      <c r="H116" s="10">
        <f t="shared" si="31"/>
        <v>169100</v>
      </c>
      <c r="I116" s="10">
        <f t="shared" si="32"/>
        <v>1059100</v>
      </c>
      <c r="J116" s="10">
        <f t="shared" si="36"/>
        <v>35600</v>
      </c>
      <c r="K116" s="10">
        <f t="shared" si="28"/>
        <v>9825.6</v>
      </c>
      <c r="L116" s="10">
        <f t="shared" si="29"/>
        <v>25365</v>
      </c>
      <c r="M116" s="58"/>
      <c r="N116" s="10">
        <f t="shared" si="33"/>
        <v>70790.600000000006</v>
      </c>
      <c r="O116" s="10">
        <f t="shared" si="34"/>
        <v>988309.4</v>
      </c>
      <c r="P116" s="57">
        <v>45357</v>
      </c>
      <c r="Q116" s="6" t="s">
        <v>24</v>
      </c>
      <c r="R116" s="9">
        <v>988309</v>
      </c>
      <c r="S116" s="10">
        <f t="shared" si="35"/>
        <v>0.40000000002328306</v>
      </c>
      <c r="T116" s="6" t="s">
        <v>25</v>
      </c>
    </row>
    <row r="117" spans="1:20">
      <c r="A117" s="143"/>
      <c r="B117" s="6" t="s">
        <v>289</v>
      </c>
      <c r="C117" s="6" t="s">
        <v>21</v>
      </c>
      <c r="D117" s="7" t="s">
        <v>47</v>
      </c>
      <c r="E117" s="8">
        <v>45280</v>
      </c>
      <c r="F117" s="7" t="s">
        <v>151</v>
      </c>
      <c r="G117" s="49">
        <v>3200000</v>
      </c>
      <c r="H117" s="10">
        <f t="shared" si="31"/>
        <v>608000</v>
      </c>
      <c r="I117" s="10">
        <f t="shared" si="32"/>
        <v>3808000</v>
      </c>
      <c r="J117" s="10">
        <f t="shared" si="36"/>
        <v>128000</v>
      </c>
      <c r="K117" s="10">
        <f t="shared" si="28"/>
        <v>35328</v>
      </c>
      <c r="L117" s="10">
        <f t="shared" si="29"/>
        <v>91200</v>
      </c>
      <c r="M117" s="58"/>
      <c r="N117" s="10">
        <f t="shared" si="33"/>
        <v>254528</v>
      </c>
      <c r="O117" s="10">
        <f t="shared" si="34"/>
        <v>3553472</v>
      </c>
      <c r="P117" s="57">
        <v>45349</v>
      </c>
      <c r="Q117" s="6" t="s">
        <v>24</v>
      </c>
      <c r="R117" s="9">
        <v>3553472</v>
      </c>
      <c r="S117" s="10">
        <f t="shared" si="35"/>
        <v>0</v>
      </c>
      <c r="T117" s="6" t="s">
        <v>25</v>
      </c>
    </row>
    <row r="118" spans="1:20">
      <c r="B118" s="1" t="s">
        <v>290</v>
      </c>
      <c r="C118" s="1" t="s">
        <v>21</v>
      </c>
      <c r="D118" t="s">
        <v>47</v>
      </c>
      <c r="E118" s="5">
        <v>45280</v>
      </c>
      <c r="F118" t="s">
        <v>151</v>
      </c>
      <c r="G118" s="105">
        <v>1470000</v>
      </c>
      <c r="H118" s="3">
        <f t="shared" si="31"/>
        <v>279300</v>
      </c>
      <c r="I118" s="3">
        <f t="shared" si="32"/>
        <v>1749300</v>
      </c>
      <c r="J118" s="3">
        <f t="shared" si="36"/>
        <v>58800</v>
      </c>
      <c r="K118" s="3">
        <f t="shared" si="28"/>
        <v>16228.799999999997</v>
      </c>
      <c r="L118" s="3">
        <f t="shared" si="29"/>
        <v>41895</v>
      </c>
      <c r="M118" s="106"/>
      <c r="N118" s="3">
        <f t="shared" si="33"/>
        <v>116923.8</v>
      </c>
      <c r="O118" s="3">
        <f t="shared" si="34"/>
        <v>1632376.2</v>
      </c>
      <c r="P118" s="110">
        <v>45349</v>
      </c>
      <c r="Q118" s="1" t="s">
        <v>24</v>
      </c>
      <c r="R118" s="107">
        <v>1632376</v>
      </c>
      <c r="S118" s="3">
        <f t="shared" si="35"/>
        <v>0.19999999995343387</v>
      </c>
      <c r="T118" s="1" t="s">
        <v>25</v>
      </c>
    </row>
    <row r="119" spans="1:20" ht="15" customHeight="1">
      <c r="A119" s="144"/>
      <c r="B119" s="6" t="s">
        <v>291</v>
      </c>
      <c r="C119" s="6" t="s">
        <v>21</v>
      </c>
      <c r="D119" s="7" t="s">
        <v>47</v>
      </c>
      <c r="E119" s="8">
        <v>45280</v>
      </c>
      <c r="F119" s="7" t="s">
        <v>151</v>
      </c>
      <c r="G119" s="49">
        <v>1600000</v>
      </c>
      <c r="H119" s="10">
        <f t="shared" si="31"/>
        <v>304000</v>
      </c>
      <c r="I119" s="10">
        <f t="shared" si="32"/>
        <v>1904000</v>
      </c>
      <c r="J119" s="10">
        <f t="shared" si="36"/>
        <v>64000</v>
      </c>
      <c r="K119" s="10">
        <f t="shared" si="28"/>
        <v>17664</v>
      </c>
      <c r="L119" s="10">
        <f t="shared" si="29"/>
        <v>45600</v>
      </c>
      <c r="M119" s="58"/>
      <c r="N119" s="10">
        <f t="shared" si="33"/>
        <v>127264</v>
      </c>
      <c r="O119" s="10">
        <f t="shared" si="34"/>
        <v>1776736</v>
      </c>
      <c r="P119" s="57">
        <v>45349</v>
      </c>
      <c r="Q119" s="6" t="s">
        <v>24</v>
      </c>
      <c r="R119" s="9">
        <v>1776736</v>
      </c>
      <c r="S119" s="10">
        <f t="shared" si="35"/>
        <v>0</v>
      </c>
      <c r="T119" s="6" t="s">
        <v>25</v>
      </c>
    </row>
    <row r="120" spans="1:20">
      <c r="A120" s="145"/>
      <c r="B120" s="6" t="s">
        <v>292</v>
      </c>
      <c r="C120" s="6" t="s">
        <v>21</v>
      </c>
      <c r="D120" s="7" t="s">
        <v>47</v>
      </c>
      <c r="E120" s="8">
        <v>45280</v>
      </c>
      <c r="F120" s="7" t="s">
        <v>151</v>
      </c>
      <c r="G120" s="49">
        <v>2470000</v>
      </c>
      <c r="H120" s="10">
        <f t="shared" si="31"/>
        <v>469300</v>
      </c>
      <c r="I120" s="10">
        <f t="shared" si="32"/>
        <v>2939300</v>
      </c>
      <c r="J120" s="10">
        <f t="shared" si="36"/>
        <v>98800</v>
      </c>
      <c r="K120" s="10">
        <f t="shared" si="28"/>
        <v>27268.799999999996</v>
      </c>
      <c r="L120" s="10">
        <f t="shared" si="29"/>
        <v>70395</v>
      </c>
      <c r="M120" s="58"/>
      <c r="N120" s="10">
        <f t="shared" si="33"/>
        <v>196463.8</v>
      </c>
      <c r="O120" s="10">
        <f t="shared" si="34"/>
        <v>2742836.2</v>
      </c>
      <c r="P120" s="57">
        <v>45349</v>
      </c>
      <c r="Q120" s="6" t="s">
        <v>24</v>
      </c>
      <c r="R120" s="9">
        <v>2742836</v>
      </c>
      <c r="S120" s="10">
        <f t="shared" si="35"/>
        <v>0.20000000018626451</v>
      </c>
      <c r="T120" s="6" t="s">
        <v>25</v>
      </c>
    </row>
    <row r="121" spans="1:20">
      <c r="A121" s="145"/>
      <c r="B121" s="6" t="s">
        <v>293</v>
      </c>
      <c r="C121" s="6" t="s">
        <v>21</v>
      </c>
      <c r="D121" s="7" t="s">
        <v>47</v>
      </c>
      <c r="E121" s="8">
        <v>45280</v>
      </c>
      <c r="F121" s="7" t="s">
        <v>151</v>
      </c>
      <c r="G121" s="49">
        <v>2660000</v>
      </c>
      <c r="H121" s="10">
        <f t="shared" si="31"/>
        <v>505400</v>
      </c>
      <c r="I121" s="10">
        <f t="shared" si="32"/>
        <v>3165400</v>
      </c>
      <c r="J121" s="10">
        <f t="shared" si="36"/>
        <v>106400</v>
      </c>
      <c r="K121" s="10">
        <f t="shared" si="28"/>
        <v>29366.399999999998</v>
      </c>
      <c r="L121" s="10">
        <f t="shared" si="29"/>
        <v>75810</v>
      </c>
      <c r="M121" s="58"/>
      <c r="N121" s="10">
        <f t="shared" si="33"/>
        <v>211576.4</v>
      </c>
      <c r="O121" s="10">
        <f t="shared" si="34"/>
        <v>2953823.6</v>
      </c>
      <c r="P121" s="57">
        <v>45357</v>
      </c>
      <c r="Q121" s="6" t="s">
        <v>24</v>
      </c>
      <c r="R121" s="9">
        <v>2953824</v>
      </c>
      <c r="S121" s="10">
        <f t="shared" si="35"/>
        <v>-0.39999999990686774</v>
      </c>
      <c r="T121" s="6" t="s">
        <v>25</v>
      </c>
    </row>
    <row r="122" spans="1:20">
      <c r="A122" s="145"/>
      <c r="B122" s="6" t="s">
        <v>294</v>
      </c>
      <c r="C122" s="6" t="s">
        <v>21</v>
      </c>
      <c r="D122" s="7" t="s">
        <v>47</v>
      </c>
      <c r="E122" s="8">
        <v>45280</v>
      </c>
      <c r="F122" s="7" t="s">
        <v>151</v>
      </c>
      <c r="G122" s="49">
        <v>2280000</v>
      </c>
      <c r="H122" s="10">
        <f t="shared" si="31"/>
        <v>433200</v>
      </c>
      <c r="I122" s="10">
        <f t="shared" si="32"/>
        <v>2713200</v>
      </c>
      <c r="J122" s="10">
        <f t="shared" si="36"/>
        <v>91200</v>
      </c>
      <c r="K122" s="10">
        <f t="shared" si="28"/>
        <v>25171.199999999997</v>
      </c>
      <c r="L122" s="10">
        <f t="shared" si="29"/>
        <v>64980</v>
      </c>
      <c r="M122" s="58"/>
      <c r="N122" s="10">
        <f t="shared" si="33"/>
        <v>181351.2</v>
      </c>
      <c r="O122" s="10">
        <f t="shared" si="34"/>
        <v>2531848.7999999998</v>
      </c>
      <c r="P122" s="57">
        <v>45357</v>
      </c>
      <c r="Q122" s="6" t="s">
        <v>24</v>
      </c>
      <c r="R122" s="9">
        <v>2531849</v>
      </c>
      <c r="S122" s="10">
        <f t="shared" si="35"/>
        <v>-0.20000000018626451</v>
      </c>
      <c r="T122" s="6" t="s">
        <v>25</v>
      </c>
    </row>
    <row r="123" spans="1:20">
      <c r="A123" s="145"/>
      <c r="B123" s="6" t="s">
        <v>295</v>
      </c>
      <c r="C123" s="6" t="s">
        <v>21</v>
      </c>
      <c r="D123" s="7" t="s">
        <v>47</v>
      </c>
      <c r="E123" s="8">
        <v>45280</v>
      </c>
      <c r="F123" s="108" t="s">
        <v>275</v>
      </c>
      <c r="G123" s="49">
        <v>2700000</v>
      </c>
      <c r="H123" s="10">
        <f t="shared" si="31"/>
        <v>513000</v>
      </c>
      <c r="I123" s="10">
        <f t="shared" si="32"/>
        <v>3213000</v>
      </c>
      <c r="J123" s="10">
        <f>G123*0.025</f>
        <v>67500</v>
      </c>
      <c r="K123" s="10">
        <f t="shared" si="28"/>
        <v>29807.999999999996</v>
      </c>
      <c r="L123" s="10">
        <f t="shared" si="29"/>
        <v>76950</v>
      </c>
      <c r="M123" s="58"/>
      <c r="N123" s="10">
        <f t="shared" si="33"/>
        <v>174258</v>
      </c>
      <c r="O123" s="10">
        <f t="shared" si="34"/>
        <v>3038742</v>
      </c>
      <c r="P123" s="57">
        <v>45349</v>
      </c>
      <c r="Q123" s="6" t="s">
        <v>24</v>
      </c>
      <c r="R123" s="9">
        <v>3038742</v>
      </c>
      <c r="S123" s="10">
        <f t="shared" si="35"/>
        <v>0</v>
      </c>
      <c r="T123" s="6" t="s">
        <v>25</v>
      </c>
    </row>
    <row r="124" spans="1:20">
      <c r="A124" s="145"/>
      <c r="B124" s="6" t="s">
        <v>296</v>
      </c>
      <c r="C124" s="6" t="s">
        <v>21</v>
      </c>
      <c r="D124" s="7" t="s">
        <v>47</v>
      </c>
      <c r="E124" s="8">
        <v>45280</v>
      </c>
      <c r="F124" s="7" t="s">
        <v>151</v>
      </c>
      <c r="G124" s="49">
        <v>280000</v>
      </c>
      <c r="H124" s="10">
        <f t="shared" si="31"/>
        <v>53200</v>
      </c>
      <c r="I124" s="10">
        <f t="shared" si="32"/>
        <v>333200</v>
      </c>
      <c r="J124" s="10">
        <f>G124*0.04</f>
        <v>11200</v>
      </c>
      <c r="K124" s="10">
        <f t="shared" si="28"/>
        <v>3091.1999999999994</v>
      </c>
      <c r="L124" s="10">
        <f t="shared" si="29"/>
        <v>7980</v>
      </c>
      <c r="M124" s="58"/>
      <c r="N124" s="10">
        <f t="shared" si="33"/>
        <v>22271.199999999997</v>
      </c>
      <c r="O124" s="10">
        <f t="shared" si="34"/>
        <v>310928.8</v>
      </c>
      <c r="P124" s="57">
        <v>45349</v>
      </c>
      <c r="Q124" s="6" t="s">
        <v>24</v>
      </c>
      <c r="R124" s="9">
        <v>310929</v>
      </c>
      <c r="S124" s="10">
        <f t="shared" si="35"/>
        <v>-0.20000000001164153</v>
      </c>
      <c r="T124" s="6" t="s">
        <v>25</v>
      </c>
    </row>
    <row r="125" spans="1:20">
      <c r="A125" s="145"/>
      <c r="B125" s="6" t="s">
        <v>297</v>
      </c>
      <c r="C125" s="6" t="s">
        <v>21</v>
      </c>
      <c r="D125" s="7" t="s">
        <v>47</v>
      </c>
      <c r="E125" s="8">
        <v>45280</v>
      </c>
      <c r="F125" s="7" t="s">
        <v>151</v>
      </c>
      <c r="G125" s="49">
        <v>3600000</v>
      </c>
      <c r="H125" s="10">
        <f t="shared" si="31"/>
        <v>684000</v>
      </c>
      <c r="I125" s="10">
        <f t="shared" si="32"/>
        <v>4284000</v>
      </c>
      <c r="J125" s="10">
        <f>G125*0.04</f>
        <v>144000</v>
      </c>
      <c r="K125" s="10">
        <f t="shared" si="28"/>
        <v>39744</v>
      </c>
      <c r="L125" s="10">
        <f t="shared" si="29"/>
        <v>102600</v>
      </c>
      <c r="M125" s="58"/>
      <c r="N125" s="10">
        <f t="shared" si="33"/>
        <v>286344</v>
      </c>
      <c r="O125" s="10">
        <f t="shared" si="34"/>
        <v>3997656</v>
      </c>
      <c r="P125" s="57">
        <v>45349</v>
      </c>
      <c r="Q125" s="6" t="s">
        <v>24</v>
      </c>
      <c r="R125" s="9">
        <v>3997656</v>
      </c>
      <c r="S125" s="10">
        <f t="shared" si="35"/>
        <v>0</v>
      </c>
      <c r="T125" s="6" t="s">
        <v>25</v>
      </c>
    </row>
    <row r="126" spans="1:20">
      <c r="A126" s="145"/>
      <c r="B126" s="6" t="s">
        <v>298</v>
      </c>
      <c r="C126" s="6" t="s">
        <v>21</v>
      </c>
      <c r="D126" s="7" t="s">
        <v>47</v>
      </c>
      <c r="E126" s="8">
        <v>45280</v>
      </c>
      <c r="F126" s="7" t="s">
        <v>151</v>
      </c>
      <c r="G126" s="49">
        <v>490000</v>
      </c>
      <c r="H126" s="10">
        <f t="shared" si="31"/>
        <v>93100</v>
      </c>
      <c r="I126" s="10">
        <f t="shared" si="32"/>
        <v>583100</v>
      </c>
      <c r="J126" s="10">
        <f>G126*0.04</f>
        <v>19600</v>
      </c>
      <c r="K126" s="10">
        <f t="shared" si="28"/>
        <v>5409.6</v>
      </c>
      <c r="L126" s="10">
        <f t="shared" si="29"/>
        <v>13965</v>
      </c>
      <c r="M126" s="58"/>
      <c r="N126" s="10">
        <f t="shared" si="33"/>
        <v>38974.6</v>
      </c>
      <c r="O126" s="10">
        <f t="shared" si="34"/>
        <v>544125.4</v>
      </c>
      <c r="P126" s="57">
        <v>45349</v>
      </c>
      <c r="Q126" s="6" t="s">
        <v>24</v>
      </c>
      <c r="R126" s="9">
        <v>544125</v>
      </c>
      <c r="S126" s="10">
        <f t="shared" si="35"/>
        <v>0.40000000002328306</v>
      </c>
      <c r="T126" s="6" t="s">
        <v>25</v>
      </c>
    </row>
    <row r="127" spans="1:20">
      <c r="A127" s="145"/>
      <c r="B127" s="6" t="s">
        <v>299</v>
      </c>
      <c r="C127" s="6" t="s">
        <v>21</v>
      </c>
      <c r="D127" s="7" t="s">
        <v>47</v>
      </c>
      <c r="E127" s="8">
        <v>45280</v>
      </c>
      <c r="F127" s="7" t="s">
        <v>151</v>
      </c>
      <c r="G127" s="49">
        <v>390000</v>
      </c>
      <c r="H127" s="10">
        <f t="shared" si="31"/>
        <v>74100</v>
      </c>
      <c r="I127" s="10">
        <f t="shared" si="32"/>
        <v>464100</v>
      </c>
      <c r="J127" s="10"/>
      <c r="K127" s="10"/>
      <c r="L127" s="10"/>
      <c r="M127" s="58"/>
      <c r="N127" s="10"/>
      <c r="O127" s="10">
        <f t="shared" si="34"/>
        <v>464100</v>
      </c>
      <c r="P127" s="57"/>
      <c r="Q127" s="6"/>
      <c r="R127" s="9"/>
      <c r="S127" s="10">
        <f t="shared" si="35"/>
        <v>464100</v>
      </c>
      <c r="T127" s="6"/>
    </row>
    <row r="128" spans="1:20">
      <c r="A128" s="145"/>
      <c r="B128" s="6" t="s">
        <v>300</v>
      </c>
      <c r="C128" s="6" t="s">
        <v>21</v>
      </c>
      <c r="D128" s="7" t="s">
        <v>47</v>
      </c>
      <c r="E128" s="8">
        <v>45280</v>
      </c>
      <c r="F128" s="7" t="s">
        <v>151</v>
      </c>
      <c r="G128" s="49">
        <v>450000</v>
      </c>
      <c r="H128" s="10">
        <f t="shared" si="31"/>
        <v>85500</v>
      </c>
      <c r="I128" s="10">
        <f t="shared" si="32"/>
        <v>535500</v>
      </c>
      <c r="J128" s="10">
        <f>G128*0.04</f>
        <v>18000</v>
      </c>
      <c r="K128" s="10">
        <f>G128*11.04/1000</f>
        <v>4968</v>
      </c>
      <c r="L128" s="10">
        <f>H128*0.15</f>
        <v>12825</v>
      </c>
      <c r="M128" s="58"/>
      <c r="N128" s="10">
        <f>SUM(J128:M128)</f>
        <v>35793</v>
      </c>
      <c r="O128" s="10">
        <f t="shared" si="34"/>
        <v>499707</v>
      </c>
      <c r="P128" s="57">
        <v>45349</v>
      </c>
      <c r="Q128" s="6" t="s">
        <v>24</v>
      </c>
      <c r="R128" s="9">
        <v>499707</v>
      </c>
      <c r="S128" s="10">
        <f t="shared" si="35"/>
        <v>0</v>
      </c>
      <c r="T128" s="6" t="s">
        <v>25</v>
      </c>
    </row>
    <row r="129" spans="1:20">
      <c r="A129" s="145"/>
      <c r="B129" s="6" t="s">
        <v>301</v>
      </c>
      <c r="C129" s="6" t="s">
        <v>21</v>
      </c>
      <c r="D129" s="7" t="s">
        <v>47</v>
      </c>
      <c r="E129" s="8">
        <v>45280</v>
      </c>
      <c r="F129" s="7" t="s">
        <v>151</v>
      </c>
      <c r="G129" s="49">
        <v>150000</v>
      </c>
      <c r="H129" s="10">
        <f t="shared" si="31"/>
        <v>28500</v>
      </c>
      <c r="I129" s="10">
        <f t="shared" si="32"/>
        <v>178500</v>
      </c>
      <c r="J129" s="10">
        <f>G129*0.04</f>
        <v>6000</v>
      </c>
      <c r="K129" s="10">
        <f>G129*11.04/1000</f>
        <v>1655.9999999999998</v>
      </c>
      <c r="L129" s="10">
        <f>H129*0.15</f>
        <v>4275</v>
      </c>
      <c r="M129" s="58"/>
      <c r="N129" s="10">
        <f>SUM(J129:M129)</f>
        <v>11931</v>
      </c>
      <c r="O129" s="10">
        <f t="shared" si="34"/>
        <v>166569</v>
      </c>
      <c r="P129" s="57">
        <v>45349</v>
      </c>
      <c r="Q129" s="6" t="s">
        <v>24</v>
      </c>
      <c r="R129" s="9">
        <v>166569</v>
      </c>
      <c r="S129" s="10">
        <f t="shared" si="35"/>
        <v>0</v>
      </c>
      <c r="T129" s="6" t="s">
        <v>25</v>
      </c>
    </row>
    <row r="130" spans="1:20">
      <c r="A130" s="145"/>
      <c r="B130" s="6"/>
      <c r="C130" s="6"/>
      <c r="D130" s="7"/>
      <c r="E130" s="8"/>
      <c r="F130" s="7"/>
      <c r="G130" s="126">
        <f>SUM(G14:G129)</f>
        <v>245763260</v>
      </c>
      <c r="H130" s="126">
        <f t="shared" ref="H130:T130" si="37">SUM(H14:H129)</f>
        <v>46695019.399999999</v>
      </c>
      <c r="I130" s="126">
        <f t="shared" si="37"/>
        <v>292458279.39999998</v>
      </c>
      <c r="J130" s="126">
        <f t="shared" si="37"/>
        <v>4894700</v>
      </c>
      <c r="K130" s="126">
        <f t="shared" si="37"/>
        <v>2391175.6800000002</v>
      </c>
      <c r="L130" s="126">
        <f t="shared" si="37"/>
        <v>6554487</v>
      </c>
      <c r="M130" s="126">
        <f t="shared" si="37"/>
        <v>1989965</v>
      </c>
      <c r="N130" s="126">
        <f t="shared" si="37"/>
        <v>15830327.679999994</v>
      </c>
      <c r="O130" s="126">
        <f t="shared" si="37"/>
        <v>276627951.72000009</v>
      </c>
      <c r="P130" s="126">
        <f t="shared" si="37"/>
        <v>4835647</v>
      </c>
      <c r="Q130" s="126">
        <f t="shared" si="37"/>
        <v>0</v>
      </c>
      <c r="R130" s="126">
        <f t="shared" si="37"/>
        <v>256823360</v>
      </c>
      <c r="S130" s="126">
        <f t="shared" si="37"/>
        <v>19804591.719999995</v>
      </c>
      <c r="T130" s="126">
        <f t="shared" si="37"/>
        <v>0</v>
      </c>
    </row>
    <row r="131" spans="1:20">
      <c r="A131" s="145"/>
      <c r="B131" s="6"/>
      <c r="C131" s="6"/>
      <c r="D131" s="7"/>
      <c r="E131" s="8"/>
      <c r="F131" s="7"/>
      <c r="G131" s="49"/>
      <c r="H131" s="10"/>
      <c r="I131" s="10"/>
      <c r="J131" s="10"/>
      <c r="K131" s="10"/>
      <c r="L131" s="10"/>
      <c r="M131" s="58"/>
      <c r="N131" s="10"/>
      <c r="O131" s="10"/>
      <c r="P131" s="57"/>
      <c r="Q131" s="6"/>
      <c r="R131" s="9"/>
      <c r="S131" s="10"/>
      <c r="T131" s="6"/>
    </row>
    <row r="132" spans="1:20">
      <c r="A132" s="145"/>
      <c r="B132" s="6" t="s">
        <v>93</v>
      </c>
      <c r="C132" s="6" t="s">
        <v>94</v>
      </c>
      <c r="D132" s="7" t="s">
        <v>95</v>
      </c>
      <c r="E132" s="8">
        <v>44991</v>
      </c>
      <c r="F132" s="7" t="s">
        <v>96</v>
      </c>
      <c r="G132" s="9">
        <v>1000000</v>
      </c>
      <c r="H132" s="10">
        <f>G132*0.19</f>
        <v>190000</v>
      </c>
      <c r="I132" s="10">
        <f>G132+H132</f>
        <v>1190000</v>
      </c>
      <c r="J132" s="10"/>
      <c r="K132" s="10"/>
      <c r="L132" s="10"/>
      <c r="M132" s="58">
        <v>0</v>
      </c>
      <c r="N132" s="10">
        <f>SUM(J132:M132)</f>
        <v>0</v>
      </c>
      <c r="O132" s="10">
        <f>+I132-N132</f>
        <v>1190000</v>
      </c>
      <c r="P132" s="7"/>
      <c r="Q132" s="6"/>
      <c r="R132" s="9"/>
      <c r="S132" s="10">
        <f>+O132-R132</f>
        <v>1190000</v>
      </c>
      <c r="T132" s="6"/>
    </row>
    <row r="133" spans="1:20">
      <c r="A133" s="145"/>
      <c r="B133" s="6" t="s">
        <v>138</v>
      </c>
      <c r="C133" s="6" t="s">
        <v>94</v>
      </c>
      <c r="D133" s="7" t="s">
        <v>95</v>
      </c>
      <c r="E133" s="8">
        <v>45082</v>
      </c>
      <c r="F133" s="7" t="s">
        <v>96</v>
      </c>
      <c r="G133" s="9">
        <v>380000</v>
      </c>
      <c r="H133" s="10">
        <f>G133*0.19</f>
        <v>72200</v>
      </c>
      <c r="I133" s="10">
        <f>G133+H133</f>
        <v>452200</v>
      </c>
      <c r="J133" s="10">
        <f>G133*0.025</f>
        <v>9500</v>
      </c>
      <c r="K133" s="10">
        <f>G133*11.04/1000</f>
        <v>4195.2</v>
      </c>
      <c r="L133" s="10">
        <f>H133*0.15</f>
        <v>10830</v>
      </c>
      <c r="M133" s="58">
        <v>0</v>
      </c>
      <c r="N133" s="10">
        <f>SUM(J133:M133)</f>
        <v>24525.200000000001</v>
      </c>
      <c r="O133" s="10">
        <f>+I133-N133</f>
        <v>427674.8</v>
      </c>
      <c r="P133" s="57">
        <v>45112</v>
      </c>
      <c r="Q133" s="40" t="s">
        <v>24</v>
      </c>
      <c r="R133" s="9">
        <v>420566</v>
      </c>
      <c r="S133" s="10">
        <f>+O133-R133</f>
        <v>7108.7999999999884</v>
      </c>
      <c r="T133" s="6" t="s">
        <v>25</v>
      </c>
    </row>
    <row r="134" spans="1:20">
      <c r="A134" s="145"/>
      <c r="B134" s="6" t="s">
        <v>263</v>
      </c>
      <c r="C134" s="6" t="s">
        <v>94</v>
      </c>
      <c r="D134" s="7" t="s">
        <v>95</v>
      </c>
      <c r="E134" s="8">
        <v>45248</v>
      </c>
      <c r="F134" s="7" t="s">
        <v>82</v>
      </c>
      <c r="G134" s="49">
        <v>2000000</v>
      </c>
      <c r="H134" s="10">
        <f>G134*0.19</f>
        <v>380000</v>
      </c>
      <c r="I134" s="10">
        <f>G134+H134</f>
        <v>2380000</v>
      </c>
      <c r="J134" s="10">
        <f>G134*0.025</f>
        <v>50000</v>
      </c>
      <c r="K134" s="10">
        <f>G134*11.04/1000</f>
        <v>22080</v>
      </c>
      <c r="L134" s="10">
        <f>H134*0.15</f>
        <v>57000</v>
      </c>
      <c r="M134" s="58">
        <v>18709</v>
      </c>
      <c r="N134" s="10">
        <f>SUM(J134:M134)</f>
        <v>147789</v>
      </c>
      <c r="O134" s="10">
        <f>+I134-N134</f>
        <v>2232211</v>
      </c>
      <c r="P134" s="57">
        <v>45280</v>
      </c>
      <c r="Q134" s="6" t="s">
        <v>24</v>
      </c>
      <c r="R134" s="9">
        <v>2232211</v>
      </c>
      <c r="S134" s="10">
        <f>+O134-R134</f>
        <v>0</v>
      </c>
      <c r="T134" s="6" t="s">
        <v>25</v>
      </c>
    </row>
    <row r="135" spans="1:20">
      <c r="A135" s="152"/>
      <c r="B135" s="6" t="s">
        <v>144</v>
      </c>
      <c r="C135" s="6" t="s">
        <v>145</v>
      </c>
      <c r="D135" s="7" t="s">
        <v>146</v>
      </c>
      <c r="E135" s="8">
        <v>45082</v>
      </c>
      <c r="F135" s="7" t="s">
        <v>147</v>
      </c>
      <c r="G135" s="9">
        <v>2740000</v>
      </c>
      <c r="H135" s="10">
        <f>G135*0.19</f>
        <v>520600</v>
      </c>
      <c r="I135" s="10">
        <f>G135+H135</f>
        <v>3260600</v>
      </c>
      <c r="J135" s="10">
        <v>0</v>
      </c>
      <c r="K135" s="10">
        <f>G135*11.04/1000</f>
        <v>30249.599999999995</v>
      </c>
      <c r="L135" s="10">
        <f>H135*0.15</f>
        <v>78090</v>
      </c>
      <c r="M135" s="58">
        <v>21476</v>
      </c>
      <c r="N135" s="10">
        <f>SUM(J135:M135)</f>
        <v>129815.59999999999</v>
      </c>
      <c r="O135" s="10">
        <f>+I135-N135</f>
        <v>3130784.4</v>
      </c>
      <c r="P135" s="57">
        <v>45112</v>
      </c>
      <c r="Q135" s="6" t="s">
        <v>24</v>
      </c>
      <c r="R135" s="9">
        <v>3021184</v>
      </c>
      <c r="S135" s="10">
        <f>+O135-R135</f>
        <v>109600.39999999991</v>
      </c>
      <c r="T135" s="6" t="s">
        <v>25</v>
      </c>
    </row>
    <row r="136" spans="1:20">
      <c r="A136" s="127"/>
      <c r="E136" s="5"/>
      <c r="G136" s="128">
        <f>SUM(G132:G135)</f>
        <v>6120000</v>
      </c>
      <c r="H136" s="128">
        <f t="shared" ref="H136:T136" si="38">SUM(H132:H135)</f>
        <v>1162800</v>
      </c>
      <c r="I136" s="128">
        <f t="shared" si="38"/>
        <v>7282800</v>
      </c>
      <c r="J136" s="128">
        <f t="shared" si="38"/>
        <v>59500</v>
      </c>
      <c r="K136" s="128">
        <f t="shared" si="38"/>
        <v>56524.799999999996</v>
      </c>
      <c r="L136" s="128">
        <f t="shared" si="38"/>
        <v>145920</v>
      </c>
      <c r="M136" s="128">
        <f t="shared" si="38"/>
        <v>40185</v>
      </c>
      <c r="N136" s="128">
        <f t="shared" si="38"/>
        <v>302129.8</v>
      </c>
      <c r="O136" s="128">
        <f t="shared" si="38"/>
        <v>6980670.1999999993</v>
      </c>
      <c r="P136" s="128">
        <f t="shared" si="38"/>
        <v>135504</v>
      </c>
      <c r="Q136" s="128">
        <f t="shared" si="38"/>
        <v>0</v>
      </c>
      <c r="R136" s="128">
        <f t="shared" si="38"/>
        <v>5673961</v>
      </c>
      <c r="S136" s="128">
        <f t="shared" si="38"/>
        <v>1306709.2</v>
      </c>
      <c r="T136" s="128">
        <f t="shared" si="38"/>
        <v>0</v>
      </c>
    </row>
    <row r="137" spans="1:20">
      <c r="A137" s="127"/>
      <c r="E137" s="5"/>
      <c r="G137" s="107"/>
      <c r="H137" s="3"/>
      <c r="I137" s="3"/>
      <c r="J137" s="3"/>
      <c r="K137" s="3"/>
      <c r="L137" s="3"/>
      <c r="M137" s="106"/>
      <c r="N137" s="3"/>
      <c r="O137" s="3"/>
      <c r="P137" s="110"/>
      <c r="R137" s="107"/>
      <c r="S137" s="3"/>
    </row>
    <row r="138" spans="1:20">
      <c r="B138" s="6" t="s">
        <v>131</v>
      </c>
      <c r="C138" s="6" t="s">
        <v>132</v>
      </c>
      <c r="D138" s="7" t="s">
        <v>133</v>
      </c>
      <c r="E138" s="8">
        <v>45055</v>
      </c>
      <c r="F138" s="7" t="s">
        <v>134</v>
      </c>
      <c r="G138" s="9">
        <v>1000</v>
      </c>
      <c r="H138" s="10">
        <f>G138*0.19</f>
        <v>190</v>
      </c>
      <c r="I138" s="10">
        <f>G138+H138</f>
        <v>1190</v>
      </c>
      <c r="J138" s="10"/>
      <c r="K138" s="10"/>
      <c r="L138" s="10"/>
      <c r="M138" s="58">
        <v>0</v>
      </c>
      <c r="N138" s="10">
        <f>SUM(J138:M138)</f>
        <v>0</v>
      </c>
      <c r="O138" s="10">
        <f>+I138-N138</f>
        <v>1190</v>
      </c>
      <c r="P138" s="57">
        <v>45086</v>
      </c>
      <c r="Q138" s="40" t="s">
        <v>135</v>
      </c>
      <c r="R138" s="9">
        <v>1190</v>
      </c>
      <c r="S138" s="10">
        <f>+O138-R138</f>
        <v>0</v>
      </c>
      <c r="T138" s="6" t="s">
        <v>112</v>
      </c>
    </row>
    <row r="139" spans="1:20">
      <c r="E139" s="5"/>
      <c r="G139" s="107"/>
      <c r="H139" s="3"/>
      <c r="I139" s="3"/>
      <c r="J139" s="3"/>
      <c r="K139" s="3"/>
      <c r="L139" s="3"/>
      <c r="M139" s="106"/>
      <c r="N139" s="3"/>
      <c r="O139" s="3"/>
      <c r="P139" s="110"/>
      <c r="Q139" s="117"/>
      <c r="R139" s="107"/>
      <c r="S139" s="3"/>
    </row>
    <row r="140" spans="1:20">
      <c r="E140" s="5"/>
      <c r="G140" s="107"/>
      <c r="H140" s="3"/>
      <c r="I140" s="3"/>
      <c r="J140" s="3"/>
      <c r="K140" s="3"/>
      <c r="L140" s="3"/>
      <c r="M140" s="106"/>
      <c r="N140" s="3"/>
      <c r="O140" s="3"/>
      <c r="P140" s="110"/>
      <c r="Q140" s="117"/>
      <c r="R140" s="107"/>
      <c r="S140" s="3"/>
    </row>
    <row r="141" spans="1:20" ht="15" customHeight="1">
      <c r="A141" s="144"/>
      <c r="B141" s="6" t="s">
        <v>77</v>
      </c>
      <c r="C141" s="6" t="s">
        <v>78</v>
      </c>
      <c r="D141" s="7" t="s">
        <v>79</v>
      </c>
      <c r="E141" s="8">
        <v>44966</v>
      </c>
      <c r="F141" s="7" t="s">
        <v>80</v>
      </c>
      <c r="G141" s="9">
        <v>1050000</v>
      </c>
      <c r="H141" s="10">
        <f>G141*0.19</f>
        <v>199500</v>
      </c>
      <c r="I141" s="10">
        <f>G141+H141</f>
        <v>1249500</v>
      </c>
      <c r="J141" s="10"/>
      <c r="K141" s="10"/>
      <c r="L141" s="10"/>
      <c r="M141" s="58">
        <v>0</v>
      </c>
      <c r="N141" s="10">
        <f>SUM(J141:M141)</f>
        <v>0</v>
      </c>
      <c r="O141" s="10">
        <f>+I141-N141</f>
        <v>1249500</v>
      </c>
      <c r="P141" s="7"/>
      <c r="Q141" s="6"/>
      <c r="R141" s="9"/>
      <c r="S141" s="10">
        <f>+O141-R141</f>
        <v>1249500</v>
      </c>
      <c r="T141" s="6"/>
    </row>
    <row r="142" spans="1:20" ht="15" customHeight="1">
      <c r="A142" s="145"/>
      <c r="B142" s="6"/>
      <c r="C142" s="6"/>
      <c r="D142" s="7"/>
      <c r="E142" s="8"/>
      <c r="F142" s="7"/>
      <c r="G142" s="9"/>
      <c r="H142" s="10"/>
      <c r="I142" s="10"/>
      <c r="J142" s="10"/>
      <c r="K142" s="10"/>
      <c r="L142" s="10"/>
      <c r="M142" s="58"/>
      <c r="N142" s="10"/>
      <c r="O142" s="10"/>
      <c r="P142" s="7"/>
      <c r="Q142" s="6"/>
      <c r="R142" s="9"/>
      <c r="S142" s="10"/>
      <c r="T142" s="6"/>
    </row>
    <row r="143" spans="1:20">
      <c r="A143" s="145"/>
      <c r="B143" s="6" t="s">
        <v>167</v>
      </c>
      <c r="C143" s="6" t="s">
        <v>168</v>
      </c>
      <c r="D143" s="7" t="s">
        <v>169</v>
      </c>
      <c r="E143" s="8">
        <v>45124</v>
      </c>
      <c r="F143" s="7" t="s">
        <v>170</v>
      </c>
      <c r="G143" s="9">
        <v>240000</v>
      </c>
      <c r="H143" s="10">
        <f>G143*0.19</f>
        <v>45600</v>
      </c>
      <c r="I143" s="10">
        <f>G143+H143</f>
        <v>285600</v>
      </c>
      <c r="J143" s="10"/>
      <c r="K143" s="10"/>
      <c r="L143" s="10"/>
      <c r="M143" s="58">
        <v>0</v>
      </c>
      <c r="N143" s="10">
        <f>SUM(J143:M143)</f>
        <v>0</v>
      </c>
      <c r="O143" s="10">
        <f>+I143-N143</f>
        <v>285600</v>
      </c>
      <c r="P143" s="7"/>
      <c r="Q143" s="6"/>
      <c r="R143" s="9"/>
      <c r="S143" s="10">
        <f>+O143-R143</f>
        <v>285600</v>
      </c>
      <c r="T143" s="6"/>
    </row>
    <row r="144" spans="1:20">
      <c r="A144" s="145"/>
      <c r="B144" s="6"/>
      <c r="C144" s="6"/>
      <c r="D144" s="7"/>
      <c r="E144" s="8"/>
      <c r="F144" s="7"/>
      <c r="G144" s="78">
        <f>SUM(G141:G143)</f>
        <v>1290000</v>
      </c>
      <c r="H144" s="78">
        <f t="shared" ref="H144:S144" si="39">SUM(H141:H143)</f>
        <v>245100</v>
      </c>
      <c r="I144" s="78">
        <f t="shared" si="39"/>
        <v>1535100</v>
      </c>
      <c r="J144" s="78">
        <f t="shared" si="39"/>
        <v>0</v>
      </c>
      <c r="K144" s="78">
        <f t="shared" si="39"/>
        <v>0</v>
      </c>
      <c r="L144" s="78">
        <f t="shared" si="39"/>
        <v>0</v>
      </c>
      <c r="M144" s="78">
        <f t="shared" si="39"/>
        <v>0</v>
      </c>
      <c r="N144" s="78">
        <f t="shared" si="39"/>
        <v>0</v>
      </c>
      <c r="O144" s="78">
        <f t="shared" si="39"/>
        <v>1535100</v>
      </c>
      <c r="P144" s="78">
        <f t="shared" si="39"/>
        <v>0</v>
      </c>
      <c r="Q144" s="78">
        <f t="shared" si="39"/>
        <v>0</v>
      </c>
      <c r="R144" s="78">
        <f t="shared" si="39"/>
        <v>0</v>
      </c>
      <c r="S144" s="78">
        <f t="shared" si="39"/>
        <v>1535100</v>
      </c>
      <c r="T144" s="6"/>
    </row>
    <row r="145" spans="2:23">
      <c r="B145" s="101"/>
      <c r="C145" s="102"/>
      <c r="D145" s="103"/>
      <c r="E145" s="104"/>
      <c r="F145" s="109"/>
      <c r="G145" s="105"/>
      <c r="H145" s="3"/>
      <c r="I145" s="3"/>
      <c r="J145" s="3"/>
      <c r="K145" s="3"/>
      <c r="L145" s="3"/>
      <c r="M145" s="106"/>
      <c r="N145" s="3"/>
      <c r="O145" s="3"/>
      <c r="P145" s="110"/>
      <c r="R145" s="107"/>
      <c r="S145" s="3"/>
    </row>
    <row r="146" spans="2:23" s="120" customFormat="1">
      <c r="B146" s="121"/>
      <c r="C146" s="122"/>
      <c r="D146" s="123"/>
      <c r="E146" s="124"/>
      <c r="G146" s="75">
        <f>+G12+G130+G136+G138+G144</f>
        <v>262884265</v>
      </c>
      <c r="H146" s="75">
        <f t="shared" ref="H146:T146" si="40">+H12+H130+H136+H138+H144</f>
        <v>49948010.350000001</v>
      </c>
      <c r="I146" s="75">
        <f t="shared" si="40"/>
        <v>312832275.34999996</v>
      </c>
      <c r="J146" s="75">
        <f t="shared" si="40"/>
        <v>5196950.125</v>
      </c>
      <c r="K146" s="75">
        <f t="shared" si="40"/>
        <v>2554898.9352000002</v>
      </c>
      <c r="L146" s="75">
        <f t="shared" si="40"/>
        <v>6977142.1425000001</v>
      </c>
      <c r="M146" s="75">
        <f t="shared" si="40"/>
        <v>2211816</v>
      </c>
      <c r="N146" s="75">
        <f t="shared" si="40"/>
        <v>16940807.202699993</v>
      </c>
      <c r="O146" s="75">
        <f t="shared" si="40"/>
        <v>295891468.14730006</v>
      </c>
      <c r="P146" s="75">
        <f t="shared" si="40"/>
        <v>5242500</v>
      </c>
      <c r="Q146" s="75" t="e">
        <f t="shared" si="40"/>
        <v>#VALUE!</v>
      </c>
      <c r="R146" s="75">
        <f t="shared" si="40"/>
        <v>273245068</v>
      </c>
      <c r="S146" s="75">
        <f t="shared" si="40"/>
        <v>22646400.147299994</v>
      </c>
      <c r="T146" s="75" t="e">
        <f t="shared" si="40"/>
        <v>#VALUE!</v>
      </c>
    </row>
    <row r="147" spans="2:23" ht="19.5" customHeight="1" thickBot="1">
      <c r="B147" s="146" t="s">
        <v>302</v>
      </c>
      <c r="C147" s="147"/>
      <c r="D147" s="147"/>
      <c r="E147" s="148"/>
    </row>
    <row r="148" spans="2:23" ht="30" customHeight="1">
      <c r="B148" s="16" t="s">
        <v>1</v>
      </c>
      <c r="C148" s="17" t="s">
        <v>303</v>
      </c>
      <c r="D148" s="17" t="s">
        <v>3</v>
      </c>
      <c r="E148" s="17" t="s">
        <v>4</v>
      </c>
      <c r="F148" s="17" t="s">
        <v>5</v>
      </c>
      <c r="G148" s="18" t="s">
        <v>6</v>
      </c>
      <c r="H148" s="18" t="s">
        <v>7</v>
      </c>
      <c r="I148" s="18" t="s">
        <v>8</v>
      </c>
      <c r="J148" s="19" t="s">
        <v>9</v>
      </c>
      <c r="K148" s="20" t="s">
        <v>10</v>
      </c>
      <c r="L148" s="20" t="s">
        <v>11</v>
      </c>
      <c r="M148" s="60" t="s">
        <v>12</v>
      </c>
      <c r="N148" s="20" t="s">
        <v>13</v>
      </c>
      <c r="O148" s="20" t="s">
        <v>14</v>
      </c>
      <c r="P148" s="21" t="s">
        <v>15</v>
      </c>
      <c r="Q148" s="20" t="s">
        <v>16</v>
      </c>
      <c r="R148" s="60" t="s">
        <v>17</v>
      </c>
      <c r="S148" s="22" t="s">
        <v>18</v>
      </c>
      <c r="T148" s="23" t="s">
        <v>19</v>
      </c>
      <c r="U148" s="24"/>
      <c r="V148" s="25"/>
      <c r="W148" s="26"/>
    </row>
    <row r="149" spans="2:23" s="62" customFormat="1" ht="16.5" customHeight="1">
      <c r="B149" s="63" t="s">
        <v>216</v>
      </c>
      <c r="C149" s="63" t="s">
        <v>304</v>
      </c>
      <c r="D149" s="64" t="s">
        <v>47</v>
      </c>
      <c r="E149" s="65">
        <v>45175</v>
      </c>
      <c r="F149" s="64" t="s">
        <v>217</v>
      </c>
      <c r="G149" s="66">
        <v>450000</v>
      </c>
      <c r="H149" s="67">
        <f>G149*0.19</f>
        <v>85500</v>
      </c>
      <c r="I149" s="67">
        <f>G149+H149</f>
        <v>535500</v>
      </c>
      <c r="J149" s="67">
        <v>0</v>
      </c>
      <c r="K149" s="67">
        <v>0</v>
      </c>
      <c r="L149" s="67">
        <v>0</v>
      </c>
      <c r="M149" s="68">
        <v>0</v>
      </c>
      <c r="N149" s="67">
        <f>SUM(J149:M149)</f>
        <v>0</v>
      </c>
      <c r="O149" s="67">
        <v>0</v>
      </c>
      <c r="P149" s="64"/>
      <c r="Q149" s="63"/>
      <c r="R149" s="66"/>
      <c r="S149" s="67">
        <f>+O149-R149</f>
        <v>0</v>
      </c>
      <c r="T149" s="63"/>
    </row>
    <row r="151" spans="2:23">
      <c r="G151" s="3">
        <f>+G146-G149</f>
        <v>262434265</v>
      </c>
      <c r="H151" s="3">
        <f t="shared" ref="H151:T151" si="41">+H146-H149</f>
        <v>49862510.350000001</v>
      </c>
      <c r="I151" s="3">
        <f t="shared" si="41"/>
        <v>312296775.34999996</v>
      </c>
      <c r="J151" s="3">
        <f t="shared" si="41"/>
        <v>5196950.125</v>
      </c>
      <c r="K151" s="3">
        <f t="shared" si="41"/>
        <v>2554898.9352000002</v>
      </c>
      <c r="L151" s="3">
        <f t="shared" si="41"/>
        <v>6977142.1425000001</v>
      </c>
      <c r="M151" s="3">
        <f t="shared" si="41"/>
        <v>2211816</v>
      </c>
      <c r="N151" s="3">
        <f t="shared" si="41"/>
        <v>16940807.202699993</v>
      </c>
      <c r="O151" s="3">
        <f t="shared" si="41"/>
        <v>295891468.14730006</v>
      </c>
      <c r="P151" s="3">
        <f t="shared" si="41"/>
        <v>5242500</v>
      </c>
      <c r="Q151" s="3" t="e">
        <f t="shared" si="41"/>
        <v>#VALUE!</v>
      </c>
      <c r="R151" s="3">
        <f t="shared" si="41"/>
        <v>273245068</v>
      </c>
      <c r="S151" s="3">
        <f t="shared" si="41"/>
        <v>22646400.147299994</v>
      </c>
      <c r="T151" s="3" t="e">
        <f t="shared" si="41"/>
        <v>#VALUE!</v>
      </c>
    </row>
  </sheetData>
  <autoFilter ref="A4:T135" xr:uid="{4D18A299-C068-416B-B0B7-FD91970DD3BD}"/>
  <mergeCells count="18">
    <mergeCell ref="A119:A135"/>
    <mergeCell ref="A141:A144"/>
    <mergeCell ref="B147:E147"/>
    <mergeCell ref="A7:A19"/>
    <mergeCell ref="A21:A29"/>
    <mergeCell ref="A31:A39"/>
    <mergeCell ref="A41:A46"/>
    <mergeCell ref="A48:A56"/>
    <mergeCell ref="A58:A69"/>
    <mergeCell ref="A71:A75"/>
    <mergeCell ref="A77:A89"/>
    <mergeCell ref="A91:A106"/>
    <mergeCell ref="A108:A117"/>
    <mergeCell ref="AB83:AF83"/>
    <mergeCell ref="V84:X84"/>
    <mergeCell ref="V85:AE85"/>
    <mergeCell ref="AF85:AG85"/>
    <mergeCell ref="B2:D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5271-CCC4-4CEA-A6C5-FA8CA0892459}">
  <dimension ref="A1:W102"/>
  <sheetViews>
    <sheetView workbookViewId="0">
      <pane xSplit="5" ySplit="4" topLeftCell="L21" activePane="bottomRight" state="frozen"/>
      <selection pane="bottomRight" activeCell="L19" sqref="L19"/>
      <selection pane="bottomLeft" activeCell="A5" sqref="A5"/>
      <selection pane="topRight" activeCell="F1" sqref="F1"/>
    </sheetView>
  </sheetViews>
  <sheetFormatPr defaultColWidth="10.7109375" defaultRowHeight="14.45"/>
  <cols>
    <col min="1" max="1" width="11.85546875" customWidth="1"/>
    <col min="3" max="3" width="12.140625" bestFit="1" customWidth="1"/>
    <col min="4" max="4" width="29.28515625" customWidth="1"/>
    <col min="5" max="5" width="11.140625" bestFit="1" customWidth="1"/>
    <col min="6" max="6" width="33.5703125" bestFit="1" customWidth="1"/>
    <col min="7" max="7" width="13.140625" bestFit="1" customWidth="1"/>
    <col min="8" max="8" width="12.140625" bestFit="1" customWidth="1"/>
    <col min="9" max="9" width="13.140625" bestFit="1" customWidth="1"/>
    <col min="12" max="12" width="12" bestFit="1" customWidth="1"/>
    <col min="13" max="13" width="14.85546875" bestFit="1" customWidth="1"/>
    <col min="14" max="14" width="13.5703125" bestFit="1" customWidth="1"/>
    <col min="15" max="15" width="13.140625" bestFit="1" customWidth="1"/>
    <col min="16" max="16" width="11.140625" customWidth="1"/>
    <col min="17" max="17" width="11.28515625" bestFit="1" customWidth="1"/>
    <col min="18" max="19" width="13.140625" bestFit="1" customWidth="1"/>
    <col min="20" max="20" width="12" bestFit="1" customWidth="1"/>
  </cols>
  <sheetData>
    <row r="1" spans="1:23" ht="15" thickBot="1">
      <c r="B1" s="1"/>
      <c r="C1" s="1"/>
      <c r="E1" s="1"/>
      <c r="M1" s="61"/>
      <c r="Q1" s="1"/>
      <c r="R1" s="2"/>
      <c r="T1" s="1"/>
    </row>
    <row r="2" spans="1:23" ht="21" customHeight="1" thickBot="1">
      <c r="B2" s="149" t="s">
        <v>305</v>
      </c>
      <c r="C2" s="150"/>
      <c r="D2" s="151"/>
      <c r="E2" s="79"/>
      <c r="M2" s="61"/>
      <c r="Q2" s="1"/>
      <c r="R2" s="2"/>
      <c r="T2" s="1"/>
    </row>
    <row r="3" spans="1:23" ht="15" thickBot="1">
      <c r="B3" s="1"/>
      <c r="C3" s="1"/>
      <c r="E3" s="1"/>
      <c r="M3" s="61"/>
      <c r="Q3" s="1"/>
      <c r="R3" s="2"/>
      <c r="T3" s="1"/>
    </row>
    <row r="4" spans="1:23" ht="33" customHeight="1"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18" t="s">
        <v>7</v>
      </c>
      <c r="I4" s="18" t="s">
        <v>8</v>
      </c>
      <c r="J4" s="19" t="s">
        <v>9</v>
      </c>
      <c r="K4" s="20" t="s">
        <v>10</v>
      </c>
      <c r="L4" s="20" t="s">
        <v>11</v>
      </c>
      <c r="M4" s="60" t="s">
        <v>12</v>
      </c>
      <c r="N4" s="20" t="s">
        <v>13</v>
      </c>
      <c r="O4" s="20" t="s">
        <v>14</v>
      </c>
      <c r="P4" s="21" t="s">
        <v>15</v>
      </c>
      <c r="Q4" s="20" t="s">
        <v>16</v>
      </c>
      <c r="R4" s="60" t="s">
        <v>17</v>
      </c>
      <c r="S4" s="22" t="s">
        <v>18</v>
      </c>
      <c r="T4" s="23" t="s">
        <v>19</v>
      </c>
      <c r="U4" s="24"/>
      <c r="V4" s="25"/>
      <c r="W4" s="26"/>
    </row>
    <row r="5" spans="1:23" ht="14.25" customHeight="1">
      <c r="A5" s="154" t="s">
        <v>49</v>
      </c>
      <c r="B5" s="155" t="s">
        <v>306</v>
      </c>
      <c r="C5" s="155" t="s">
        <v>21</v>
      </c>
      <c r="D5" s="155" t="s">
        <v>47</v>
      </c>
      <c r="E5" s="156">
        <v>45306</v>
      </c>
      <c r="F5" s="155" t="s">
        <v>275</v>
      </c>
      <c r="G5" s="157">
        <v>5400000</v>
      </c>
      <c r="H5" s="158">
        <f t="shared" ref="H5:H16" si="0">G5*0.19</f>
        <v>1026000</v>
      </c>
      <c r="I5" s="158">
        <f t="shared" ref="I5:I12" si="1">G5+H5</f>
        <v>6426000</v>
      </c>
      <c r="J5" s="158">
        <f>G5*0.025</f>
        <v>135000</v>
      </c>
      <c r="K5" s="158">
        <f>G5*11.04/1000</f>
        <v>59615.999999999993</v>
      </c>
      <c r="L5" s="158">
        <f>H5*0.15</f>
        <v>153900</v>
      </c>
      <c r="M5" s="159"/>
      <c r="N5" s="158">
        <f>SUM(J5:M5)</f>
        <v>348516</v>
      </c>
      <c r="O5" s="158">
        <f>+I5-N5</f>
        <v>6077484</v>
      </c>
      <c r="P5" s="156">
        <v>45349</v>
      </c>
      <c r="Q5" s="160" t="s">
        <v>24</v>
      </c>
      <c r="R5" s="159">
        <v>6077484</v>
      </c>
      <c r="S5" s="158">
        <f>+O5-R5</f>
        <v>0</v>
      </c>
      <c r="T5" s="155" t="s">
        <v>112</v>
      </c>
    </row>
    <row r="6" spans="1:23" ht="14.25" customHeight="1">
      <c r="A6" s="154"/>
      <c r="B6" s="161"/>
      <c r="C6" s="162"/>
      <c r="D6" s="163"/>
      <c r="E6" s="164"/>
      <c r="F6" s="165"/>
      <c r="G6" s="166">
        <f>+G5</f>
        <v>5400000</v>
      </c>
      <c r="H6" s="166">
        <f t="shared" ref="H6:S6" si="2">+H5</f>
        <v>1026000</v>
      </c>
      <c r="I6" s="166">
        <f t="shared" si="2"/>
        <v>6426000</v>
      </c>
      <c r="J6" s="166">
        <f t="shared" si="2"/>
        <v>135000</v>
      </c>
      <c r="K6" s="166">
        <f t="shared" si="2"/>
        <v>59615.999999999993</v>
      </c>
      <c r="L6" s="166">
        <f t="shared" si="2"/>
        <v>153900</v>
      </c>
      <c r="M6" s="166">
        <f t="shared" si="2"/>
        <v>0</v>
      </c>
      <c r="N6" s="166">
        <f t="shared" si="2"/>
        <v>348516</v>
      </c>
      <c r="O6" s="166">
        <f t="shared" si="2"/>
        <v>6077484</v>
      </c>
      <c r="P6" s="166">
        <f t="shared" si="2"/>
        <v>45349</v>
      </c>
      <c r="Q6" s="166" t="str">
        <f t="shared" si="2"/>
        <v>Crédito</v>
      </c>
      <c r="R6" s="166">
        <f t="shared" si="2"/>
        <v>6077484</v>
      </c>
      <c r="S6" s="166">
        <f t="shared" si="2"/>
        <v>0</v>
      </c>
      <c r="T6" s="166"/>
    </row>
    <row r="7" spans="1:23" ht="14.25" customHeight="1">
      <c r="A7" s="167"/>
      <c r="B7" s="155"/>
      <c r="C7" s="167"/>
      <c r="D7" s="167"/>
      <c r="E7" s="168"/>
      <c r="F7" s="167"/>
      <c r="G7" s="167"/>
      <c r="H7" s="158"/>
      <c r="I7" s="158"/>
      <c r="J7" s="158"/>
      <c r="K7" s="158"/>
      <c r="L7" s="158"/>
      <c r="M7" s="159"/>
      <c r="N7" s="158"/>
      <c r="O7" s="158"/>
      <c r="P7" s="156"/>
      <c r="Q7" s="155"/>
      <c r="R7" s="159"/>
      <c r="S7" s="158"/>
      <c r="T7" s="155"/>
    </row>
    <row r="8" spans="1:23" ht="15">
      <c r="A8" s="169" t="s">
        <v>70</v>
      </c>
      <c r="B8" s="155" t="s">
        <v>307</v>
      </c>
      <c r="C8" s="155" t="s">
        <v>173</v>
      </c>
      <c r="D8" s="155" t="s">
        <v>308</v>
      </c>
      <c r="E8" s="156">
        <v>45323</v>
      </c>
      <c r="F8" s="155" t="s">
        <v>309</v>
      </c>
      <c r="G8" s="157">
        <v>2000000</v>
      </c>
      <c r="H8" s="158">
        <f t="shared" si="0"/>
        <v>380000</v>
      </c>
      <c r="I8" s="158">
        <f t="shared" si="1"/>
        <v>2380000</v>
      </c>
      <c r="J8" s="158">
        <f>G8*0.025</f>
        <v>50000</v>
      </c>
      <c r="K8" s="158">
        <f>G8*11.04/1000</f>
        <v>22080</v>
      </c>
      <c r="L8" s="158">
        <f>H8*0.15</f>
        <v>57000</v>
      </c>
      <c r="M8" s="159">
        <v>37418</v>
      </c>
      <c r="N8" s="158">
        <f>SUM(J8:M8)</f>
        <v>166498</v>
      </c>
      <c r="O8" s="158">
        <f>+I8-N8</f>
        <v>2213502</v>
      </c>
      <c r="P8" s="156">
        <v>44993</v>
      </c>
      <c r="Q8" s="160" t="s">
        <v>24</v>
      </c>
      <c r="R8" s="159">
        <v>2213502</v>
      </c>
      <c r="S8" s="158">
        <f>+O8-R8</f>
        <v>0</v>
      </c>
      <c r="T8" s="155" t="s">
        <v>112</v>
      </c>
    </row>
    <row r="9" spans="1:23" ht="15">
      <c r="A9" s="169"/>
      <c r="B9" s="155" t="s">
        <v>310</v>
      </c>
      <c r="C9" s="155" t="s">
        <v>21</v>
      </c>
      <c r="D9" s="155" t="s">
        <v>47</v>
      </c>
      <c r="E9" s="156">
        <v>45323</v>
      </c>
      <c r="F9" s="155" t="s">
        <v>311</v>
      </c>
      <c r="G9" s="157">
        <v>1750000</v>
      </c>
      <c r="H9" s="158">
        <f t="shared" si="0"/>
        <v>332500</v>
      </c>
      <c r="I9" s="158">
        <f t="shared" si="1"/>
        <v>2082500</v>
      </c>
      <c r="J9" s="158">
        <f>G9*0.025</f>
        <v>43750</v>
      </c>
      <c r="K9" s="158">
        <f>G9*11.04/1000</f>
        <v>19320</v>
      </c>
      <c r="L9" s="158">
        <f>H9*0.15</f>
        <v>49875</v>
      </c>
      <c r="M9" s="159">
        <v>0</v>
      </c>
      <c r="N9" s="158">
        <f>SUM(J9:M9)</f>
        <v>112945</v>
      </c>
      <c r="O9" s="158">
        <f>+I9-N9</f>
        <v>1969555</v>
      </c>
      <c r="P9" s="156">
        <v>45404</v>
      </c>
      <c r="Q9" s="160" t="s">
        <v>24</v>
      </c>
      <c r="R9" s="159">
        <v>1969555</v>
      </c>
      <c r="S9" s="158">
        <f>+O9-R9</f>
        <v>0</v>
      </c>
      <c r="T9" s="155" t="s">
        <v>112</v>
      </c>
    </row>
    <row r="10" spans="1:23" ht="15">
      <c r="A10" s="169"/>
      <c r="B10" s="155" t="s">
        <v>312</v>
      </c>
      <c r="C10" s="155" t="s">
        <v>21</v>
      </c>
      <c r="D10" s="155" t="s">
        <v>47</v>
      </c>
      <c r="E10" s="156">
        <v>45324</v>
      </c>
      <c r="F10" s="155" t="s">
        <v>313</v>
      </c>
      <c r="G10" s="157">
        <v>2500000</v>
      </c>
      <c r="H10" s="158">
        <f t="shared" si="0"/>
        <v>475000</v>
      </c>
      <c r="I10" s="158">
        <f t="shared" si="1"/>
        <v>2975000</v>
      </c>
      <c r="J10" s="158">
        <v>0</v>
      </c>
      <c r="K10" s="158">
        <v>0</v>
      </c>
      <c r="L10" s="158">
        <f>H10*0.15</f>
        <v>71250</v>
      </c>
      <c r="M10" s="159">
        <v>0</v>
      </c>
      <c r="N10" s="158">
        <f>SUM(J10:M10)</f>
        <v>71250</v>
      </c>
      <c r="O10" s="158">
        <f>+I10-N10</f>
        <v>2903750</v>
      </c>
      <c r="P10" s="156">
        <v>45404</v>
      </c>
      <c r="Q10" s="160" t="s">
        <v>24</v>
      </c>
      <c r="R10" s="159">
        <v>2903750</v>
      </c>
      <c r="S10" s="158">
        <f>+O10-R10</f>
        <v>0</v>
      </c>
      <c r="T10" s="155" t="s">
        <v>112</v>
      </c>
    </row>
    <row r="11" spans="1:23" ht="15">
      <c r="A11" s="169"/>
      <c r="B11" s="155" t="s">
        <v>314</v>
      </c>
      <c r="C11" s="155" t="s">
        <v>21</v>
      </c>
      <c r="D11" s="155" t="s">
        <v>47</v>
      </c>
      <c r="E11" s="156">
        <v>45324</v>
      </c>
      <c r="F11" s="155" t="s">
        <v>315</v>
      </c>
      <c r="G11" s="157">
        <v>760000</v>
      </c>
      <c r="H11" s="158">
        <f t="shared" si="0"/>
        <v>144400</v>
      </c>
      <c r="I11" s="158">
        <f t="shared" si="1"/>
        <v>904400</v>
      </c>
      <c r="J11" s="158">
        <f>G11*0.025</f>
        <v>19000</v>
      </c>
      <c r="K11" s="158">
        <f>G11*11.04/1000</f>
        <v>8390.4</v>
      </c>
      <c r="L11" s="158">
        <f>H11*0.15</f>
        <v>21660</v>
      </c>
      <c r="M11" s="159">
        <v>0</v>
      </c>
      <c r="N11" s="158">
        <f>SUM(J11:M11)</f>
        <v>49050.400000000001</v>
      </c>
      <c r="O11" s="158">
        <f>+I11-N11</f>
        <v>855349.6</v>
      </c>
      <c r="P11" s="156">
        <v>45404</v>
      </c>
      <c r="Q11" s="160" t="s">
        <v>24</v>
      </c>
      <c r="R11" s="159">
        <v>855350</v>
      </c>
      <c r="S11" s="158">
        <f>+O11-R11</f>
        <v>-0.40000000002328306</v>
      </c>
      <c r="T11" s="155" t="s">
        <v>112</v>
      </c>
    </row>
    <row r="12" spans="1:23" ht="15">
      <c r="A12" s="169"/>
      <c r="B12" s="170" t="s">
        <v>316</v>
      </c>
      <c r="C12" s="170" t="s">
        <v>317</v>
      </c>
      <c r="D12" s="170" t="s">
        <v>318</v>
      </c>
      <c r="E12" s="171">
        <v>45342</v>
      </c>
      <c r="F12" s="170" t="s">
        <v>319</v>
      </c>
      <c r="G12" s="172">
        <v>385000</v>
      </c>
      <c r="H12" s="173">
        <f t="shared" si="0"/>
        <v>73150</v>
      </c>
      <c r="I12" s="173">
        <f t="shared" si="1"/>
        <v>458150</v>
      </c>
      <c r="J12" s="173">
        <v>0</v>
      </c>
      <c r="K12" s="173">
        <v>0</v>
      </c>
      <c r="L12" s="173">
        <v>0</v>
      </c>
      <c r="M12" s="174">
        <v>0</v>
      </c>
      <c r="N12" s="158">
        <f>SUM(J12:M12)</f>
        <v>0</v>
      </c>
      <c r="O12" s="173">
        <f>+I12-N12</f>
        <v>458150</v>
      </c>
      <c r="P12" s="171">
        <v>45342</v>
      </c>
      <c r="Q12" s="170" t="s">
        <v>135</v>
      </c>
      <c r="R12" s="174">
        <v>458150</v>
      </c>
      <c r="S12" s="173">
        <f>+O12-R12</f>
        <v>0</v>
      </c>
      <c r="T12" s="155" t="s">
        <v>112</v>
      </c>
    </row>
    <row r="13" spans="1:23" ht="15">
      <c r="A13" s="169"/>
      <c r="B13" s="161"/>
      <c r="C13" s="161"/>
      <c r="D13" s="161"/>
      <c r="E13" s="175"/>
      <c r="F13" s="161"/>
      <c r="G13" s="166">
        <f>SUM(G8:G12)</f>
        <v>7395000</v>
      </c>
      <c r="H13" s="166">
        <f t="shared" ref="H13:T13" si="3">SUM(H8:H12)</f>
        <v>1405050</v>
      </c>
      <c r="I13" s="166">
        <f t="shared" si="3"/>
        <v>8800050</v>
      </c>
      <c r="J13" s="166">
        <f t="shared" si="3"/>
        <v>112750</v>
      </c>
      <c r="K13" s="166">
        <f t="shared" si="3"/>
        <v>49790.400000000001</v>
      </c>
      <c r="L13" s="166">
        <f t="shared" si="3"/>
        <v>199785</v>
      </c>
      <c r="M13" s="166">
        <f t="shared" si="3"/>
        <v>37418</v>
      </c>
      <c r="N13" s="166">
        <f t="shared" si="3"/>
        <v>399743.4</v>
      </c>
      <c r="O13" s="166">
        <f t="shared" si="3"/>
        <v>8400306.5999999996</v>
      </c>
      <c r="P13" s="166">
        <f t="shared" si="3"/>
        <v>226547</v>
      </c>
      <c r="Q13" s="166">
        <f t="shared" si="3"/>
        <v>0</v>
      </c>
      <c r="R13" s="166">
        <f t="shared" si="3"/>
        <v>8400307</v>
      </c>
      <c r="S13" s="166">
        <f t="shared" si="3"/>
        <v>-0.40000000002328306</v>
      </c>
      <c r="T13" s="166">
        <f t="shared" si="3"/>
        <v>0</v>
      </c>
    </row>
    <row r="14" spans="1:23" ht="15">
      <c r="A14" s="167"/>
      <c r="B14" s="167"/>
      <c r="C14" s="167"/>
      <c r="D14" s="167"/>
      <c r="E14" s="168"/>
      <c r="F14" s="167"/>
      <c r="G14" s="176"/>
      <c r="H14" s="177"/>
      <c r="I14" s="177"/>
      <c r="J14" s="177"/>
      <c r="K14" s="177"/>
      <c r="L14" s="177"/>
      <c r="M14" s="178"/>
      <c r="N14" s="177"/>
      <c r="O14" s="177"/>
      <c r="P14" s="168"/>
      <c r="Q14" s="167"/>
      <c r="R14" s="178"/>
      <c r="S14" s="177"/>
      <c r="T14" s="167"/>
    </row>
    <row r="15" spans="1:23" ht="15">
      <c r="A15" s="169" t="s">
        <v>90</v>
      </c>
      <c r="B15" s="155" t="s">
        <v>320</v>
      </c>
      <c r="C15" s="155" t="s">
        <v>21</v>
      </c>
      <c r="D15" s="155" t="s">
        <v>47</v>
      </c>
      <c r="E15" s="156">
        <v>45355</v>
      </c>
      <c r="F15" s="155" t="s">
        <v>88</v>
      </c>
      <c r="G15" s="157">
        <v>910000</v>
      </c>
      <c r="H15" s="158">
        <f t="shared" si="0"/>
        <v>172900</v>
      </c>
      <c r="I15" s="158">
        <f>G15+H15</f>
        <v>1082900</v>
      </c>
      <c r="J15" s="158">
        <v>0</v>
      </c>
      <c r="K15" s="158">
        <v>0</v>
      </c>
      <c r="L15" s="158">
        <f>H15*0.15</f>
        <v>25935</v>
      </c>
      <c r="M15" s="159">
        <v>0</v>
      </c>
      <c r="N15" s="158">
        <f>SUM(J15:M15)</f>
        <v>25935</v>
      </c>
      <c r="O15" s="158">
        <f>+I15-N15</f>
        <v>1056965</v>
      </c>
      <c r="P15" s="156">
        <v>45428</v>
      </c>
      <c r="Q15" s="160" t="s">
        <v>24</v>
      </c>
      <c r="R15" s="159">
        <v>1056965</v>
      </c>
      <c r="S15" s="158">
        <f>+O15-R15</f>
        <v>0</v>
      </c>
      <c r="T15" s="155" t="s">
        <v>112</v>
      </c>
    </row>
    <row r="16" spans="1:23" ht="15">
      <c r="A16" s="169"/>
      <c r="B16" s="155" t="s">
        <v>321</v>
      </c>
      <c r="C16" s="155" t="s">
        <v>322</v>
      </c>
      <c r="D16" s="155" t="s">
        <v>323</v>
      </c>
      <c r="E16" s="156">
        <v>45357</v>
      </c>
      <c r="F16" s="155" t="s">
        <v>324</v>
      </c>
      <c r="G16" s="157">
        <v>90000</v>
      </c>
      <c r="H16" s="158">
        <f t="shared" si="0"/>
        <v>17100</v>
      </c>
      <c r="I16" s="158">
        <f>G16+H16</f>
        <v>107100</v>
      </c>
      <c r="J16" s="158">
        <v>0</v>
      </c>
      <c r="K16" s="158">
        <v>0</v>
      </c>
      <c r="L16" s="158">
        <v>0</v>
      </c>
      <c r="M16" s="159">
        <v>0</v>
      </c>
      <c r="N16" s="158">
        <f>SUM(J16:M16)</f>
        <v>0</v>
      </c>
      <c r="O16" s="158">
        <f>+I16-N16</f>
        <v>107100</v>
      </c>
      <c r="P16" s="156">
        <v>45357</v>
      </c>
      <c r="Q16" s="155" t="s">
        <v>135</v>
      </c>
      <c r="R16" s="159">
        <v>107100</v>
      </c>
      <c r="S16" s="158">
        <f>+O16-R16</f>
        <v>0</v>
      </c>
      <c r="T16" s="155" t="s">
        <v>112</v>
      </c>
    </row>
    <row r="17" spans="1:20" ht="15">
      <c r="A17" s="169"/>
      <c r="B17" s="161"/>
      <c r="C17" s="161"/>
      <c r="D17" s="161"/>
      <c r="E17" s="161"/>
      <c r="F17" s="161"/>
      <c r="G17" s="179">
        <f>SUM(G15:G16)</f>
        <v>1000000</v>
      </c>
      <c r="H17" s="179">
        <f t="shared" ref="H17:T17" si="4">SUM(H15:H16)</f>
        <v>190000</v>
      </c>
      <c r="I17" s="179">
        <f t="shared" si="4"/>
        <v>1190000</v>
      </c>
      <c r="J17" s="179">
        <f t="shared" si="4"/>
        <v>0</v>
      </c>
      <c r="K17" s="179">
        <f t="shared" si="4"/>
        <v>0</v>
      </c>
      <c r="L17" s="179">
        <f t="shared" si="4"/>
        <v>25935</v>
      </c>
      <c r="M17" s="179">
        <f t="shared" si="4"/>
        <v>0</v>
      </c>
      <c r="N17" s="179">
        <f t="shared" si="4"/>
        <v>25935</v>
      </c>
      <c r="O17" s="179">
        <f t="shared" si="4"/>
        <v>1164065</v>
      </c>
      <c r="P17" s="179">
        <f t="shared" si="4"/>
        <v>90785</v>
      </c>
      <c r="Q17" s="179">
        <f t="shared" si="4"/>
        <v>0</v>
      </c>
      <c r="R17" s="179">
        <f t="shared" si="4"/>
        <v>1164065</v>
      </c>
      <c r="S17" s="179">
        <f t="shared" si="4"/>
        <v>0</v>
      </c>
      <c r="T17" s="179">
        <f t="shared" si="4"/>
        <v>0</v>
      </c>
    </row>
    <row r="18" spans="1:20" ht="1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</row>
    <row r="19" spans="1:20" ht="15">
      <c r="A19" s="169" t="s">
        <v>109</v>
      </c>
      <c r="B19" s="155" t="s">
        <v>325</v>
      </c>
      <c r="C19" s="155" t="s">
        <v>21</v>
      </c>
      <c r="D19" s="155" t="s">
        <v>47</v>
      </c>
      <c r="E19" s="156">
        <v>45394</v>
      </c>
      <c r="F19" s="155" t="s">
        <v>326</v>
      </c>
      <c r="G19" s="157">
        <v>760000</v>
      </c>
      <c r="H19" s="158">
        <f t="shared" ref="H19:H28" si="5">G19*0.19</f>
        <v>144400</v>
      </c>
      <c r="I19" s="158">
        <f t="shared" ref="I19:I28" si="6">G19+H19</f>
        <v>904400</v>
      </c>
      <c r="J19" s="158">
        <v>0</v>
      </c>
      <c r="K19" s="158">
        <v>0</v>
      </c>
      <c r="L19" s="158">
        <f t="shared" ref="L19:L27" si="7">H19*0.15</f>
        <v>21660</v>
      </c>
      <c r="M19" s="159">
        <v>0</v>
      </c>
      <c r="N19" s="158">
        <f>SUM(J19:M19)</f>
        <v>21660</v>
      </c>
      <c r="O19" s="158">
        <f t="shared" ref="O19:O28" si="8">+I19-N19</f>
        <v>882740</v>
      </c>
      <c r="P19" s="156">
        <v>45462</v>
      </c>
      <c r="Q19" s="160" t="s">
        <v>24</v>
      </c>
      <c r="R19" s="159">
        <v>882740</v>
      </c>
      <c r="S19" s="158">
        <f t="shared" ref="S19:S28" si="9">+O19-R19</f>
        <v>0</v>
      </c>
      <c r="T19" s="155" t="s">
        <v>112</v>
      </c>
    </row>
    <row r="20" spans="1:20" ht="15">
      <c r="A20" s="169"/>
      <c r="B20" s="155" t="s">
        <v>327</v>
      </c>
      <c r="C20" s="155" t="s">
        <v>21</v>
      </c>
      <c r="D20" s="155" t="s">
        <v>47</v>
      </c>
      <c r="E20" s="156">
        <v>45394</v>
      </c>
      <c r="F20" s="155" t="s">
        <v>328</v>
      </c>
      <c r="G20" s="157">
        <v>560000</v>
      </c>
      <c r="H20" s="158">
        <f t="shared" si="5"/>
        <v>106400</v>
      </c>
      <c r="I20" s="158">
        <f t="shared" si="6"/>
        <v>666400</v>
      </c>
      <c r="J20" s="158">
        <v>0</v>
      </c>
      <c r="K20" s="158">
        <v>0</v>
      </c>
      <c r="L20" s="158">
        <f t="shared" si="7"/>
        <v>15960</v>
      </c>
      <c r="M20" s="159">
        <v>0</v>
      </c>
      <c r="N20" s="158">
        <f>SUM(J20:M20)</f>
        <v>15960</v>
      </c>
      <c r="O20" s="158">
        <f t="shared" si="8"/>
        <v>650440</v>
      </c>
      <c r="P20" s="156">
        <v>45448</v>
      </c>
      <c r="Q20" s="160" t="s">
        <v>24</v>
      </c>
      <c r="R20" s="159">
        <v>650440</v>
      </c>
      <c r="S20" s="158">
        <f t="shared" si="9"/>
        <v>0</v>
      </c>
      <c r="T20" s="155" t="s">
        <v>112</v>
      </c>
    </row>
    <row r="21" spans="1:20" ht="15">
      <c r="A21" s="169"/>
      <c r="B21" s="155" t="s">
        <v>329</v>
      </c>
      <c r="C21" s="155" t="s">
        <v>21</v>
      </c>
      <c r="D21" s="155" t="s">
        <v>47</v>
      </c>
      <c r="E21" s="156">
        <v>45394</v>
      </c>
      <c r="F21" s="155" t="s">
        <v>330</v>
      </c>
      <c r="G21" s="157">
        <v>1300000</v>
      </c>
      <c r="H21" s="158">
        <f t="shared" si="5"/>
        <v>247000</v>
      </c>
      <c r="I21" s="158">
        <f t="shared" si="6"/>
        <v>1547000</v>
      </c>
      <c r="J21" s="158">
        <v>0</v>
      </c>
      <c r="K21" s="158">
        <v>0</v>
      </c>
      <c r="L21" s="158">
        <f t="shared" si="7"/>
        <v>37050</v>
      </c>
      <c r="M21" s="159">
        <v>0</v>
      </c>
      <c r="N21" s="158">
        <f>SUM(J21:M21)</f>
        <v>37050</v>
      </c>
      <c r="O21" s="158">
        <f t="shared" si="8"/>
        <v>1509950</v>
      </c>
      <c r="P21" s="156">
        <v>45462</v>
      </c>
      <c r="Q21" s="160" t="s">
        <v>24</v>
      </c>
      <c r="R21" s="159">
        <v>1509950</v>
      </c>
      <c r="S21" s="158">
        <f t="shared" si="9"/>
        <v>0</v>
      </c>
      <c r="T21" s="155" t="s">
        <v>112</v>
      </c>
    </row>
    <row r="22" spans="1:20" ht="15">
      <c r="A22" s="169"/>
      <c r="B22" s="155" t="s">
        <v>331</v>
      </c>
      <c r="C22" s="155" t="s">
        <v>21</v>
      </c>
      <c r="D22" s="155" t="s">
        <v>47</v>
      </c>
      <c r="E22" s="156">
        <v>45394</v>
      </c>
      <c r="F22" s="155" t="s">
        <v>332</v>
      </c>
      <c r="G22" s="157">
        <v>1680000</v>
      </c>
      <c r="H22" s="158">
        <f t="shared" si="5"/>
        <v>319200</v>
      </c>
      <c r="I22" s="158">
        <f t="shared" si="6"/>
        <v>1999200</v>
      </c>
      <c r="J22" s="158">
        <v>0</v>
      </c>
      <c r="K22" s="158"/>
      <c r="L22" s="158">
        <f t="shared" si="7"/>
        <v>47880</v>
      </c>
      <c r="M22" s="159">
        <v>0</v>
      </c>
      <c r="N22" s="158">
        <f>SUM(J22:M22)</f>
        <v>47880</v>
      </c>
      <c r="O22" s="158">
        <f t="shared" si="8"/>
        <v>1951320</v>
      </c>
      <c r="P22" s="156"/>
      <c r="Q22" s="155"/>
      <c r="R22" s="159"/>
      <c r="S22" s="158">
        <f t="shared" si="9"/>
        <v>1951320</v>
      </c>
      <c r="T22" s="155" t="s">
        <v>333</v>
      </c>
    </row>
    <row r="23" spans="1:20" ht="15">
      <c r="A23" s="169"/>
      <c r="B23" s="155" t="s">
        <v>334</v>
      </c>
      <c r="C23" s="155" t="s">
        <v>21</v>
      </c>
      <c r="D23" s="155" t="s">
        <v>47</v>
      </c>
      <c r="E23" s="156">
        <v>45394</v>
      </c>
      <c r="F23" s="155" t="s">
        <v>335</v>
      </c>
      <c r="G23" s="157">
        <v>1900000</v>
      </c>
      <c r="H23" s="158">
        <f t="shared" si="5"/>
        <v>361000</v>
      </c>
      <c r="I23" s="158">
        <f t="shared" si="6"/>
        <v>2261000</v>
      </c>
      <c r="J23" s="158">
        <v>0</v>
      </c>
      <c r="K23" s="158">
        <v>0</v>
      </c>
      <c r="L23" s="158">
        <f t="shared" si="7"/>
        <v>54150</v>
      </c>
      <c r="M23" s="159">
        <v>0</v>
      </c>
      <c r="N23" s="158">
        <f t="shared" ref="N23:N28" si="10">SUM(J23:M23)</f>
        <v>54150</v>
      </c>
      <c r="O23" s="158">
        <f t="shared" si="8"/>
        <v>2206850</v>
      </c>
      <c r="P23" s="156">
        <v>45448</v>
      </c>
      <c r="Q23" s="160" t="s">
        <v>24</v>
      </c>
      <c r="R23" s="159">
        <v>2206850</v>
      </c>
      <c r="S23" s="158">
        <f t="shared" si="9"/>
        <v>0</v>
      </c>
      <c r="T23" s="155" t="s">
        <v>112</v>
      </c>
    </row>
    <row r="24" spans="1:20" ht="15">
      <c r="A24" s="169"/>
      <c r="B24" s="155" t="s">
        <v>336</v>
      </c>
      <c r="C24" s="155" t="s">
        <v>21</v>
      </c>
      <c r="D24" s="155" t="s">
        <v>47</v>
      </c>
      <c r="E24" s="156">
        <v>45394</v>
      </c>
      <c r="F24" s="155" t="s">
        <v>335</v>
      </c>
      <c r="G24" s="157">
        <v>2660000</v>
      </c>
      <c r="H24" s="158">
        <f t="shared" si="5"/>
        <v>505400</v>
      </c>
      <c r="I24" s="158">
        <f t="shared" si="6"/>
        <v>3165400</v>
      </c>
      <c r="J24" s="158">
        <v>0</v>
      </c>
      <c r="K24" s="158">
        <v>0</v>
      </c>
      <c r="L24" s="158">
        <f t="shared" si="7"/>
        <v>75810</v>
      </c>
      <c r="M24" s="159">
        <v>0</v>
      </c>
      <c r="N24" s="158">
        <f t="shared" si="10"/>
        <v>75810</v>
      </c>
      <c r="O24" s="158">
        <f t="shared" si="8"/>
        <v>3089590</v>
      </c>
      <c r="P24" s="156">
        <v>45448</v>
      </c>
      <c r="Q24" s="160" t="s">
        <v>24</v>
      </c>
      <c r="R24" s="159">
        <v>3089590</v>
      </c>
      <c r="S24" s="158">
        <f t="shared" si="9"/>
        <v>0</v>
      </c>
      <c r="T24" s="155" t="s">
        <v>112</v>
      </c>
    </row>
    <row r="25" spans="1:20" ht="15">
      <c r="A25" s="169"/>
      <c r="B25" s="155" t="s">
        <v>337</v>
      </c>
      <c r="C25" s="155" t="s">
        <v>21</v>
      </c>
      <c r="D25" s="155" t="s">
        <v>47</v>
      </c>
      <c r="E25" s="156">
        <v>45401</v>
      </c>
      <c r="F25" s="155" t="s">
        <v>338</v>
      </c>
      <c r="G25" s="157">
        <v>1600000</v>
      </c>
      <c r="H25" s="158">
        <f t="shared" si="5"/>
        <v>304000</v>
      </c>
      <c r="I25" s="158">
        <f t="shared" si="6"/>
        <v>1904000</v>
      </c>
      <c r="J25" s="158">
        <v>0</v>
      </c>
      <c r="K25" s="158">
        <v>0</v>
      </c>
      <c r="L25" s="158">
        <f t="shared" si="7"/>
        <v>45600</v>
      </c>
      <c r="M25" s="159">
        <v>0</v>
      </c>
      <c r="N25" s="158">
        <f t="shared" si="10"/>
        <v>45600</v>
      </c>
      <c r="O25" s="158">
        <f t="shared" si="8"/>
        <v>1858400</v>
      </c>
      <c r="P25" s="156">
        <v>45476</v>
      </c>
      <c r="Q25" s="160" t="s">
        <v>24</v>
      </c>
      <c r="R25" s="159">
        <v>1858400</v>
      </c>
      <c r="S25" s="158">
        <f t="shared" si="9"/>
        <v>0</v>
      </c>
      <c r="T25" s="155" t="s">
        <v>112</v>
      </c>
    </row>
    <row r="26" spans="1:20" ht="15">
      <c r="A26" s="169"/>
      <c r="B26" s="155" t="s">
        <v>339</v>
      </c>
      <c r="C26" s="155" t="s">
        <v>21</v>
      </c>
      <c r="D26" s="155" t="s">
        <v>47</v>
      </c>
      <c r="E26" s="156">
        <v>45401</v>
      </c>
      <c r="F26" s="155" t="s">
        <v>338</v>
      </c>
      <c r="G26" s="157">
        <v>1600000</v>
      </c>
      <c r="H26" s="158">
        <f t="shared" si="5"/>
        <v>304000</v>
      </c>
      <c r="I26" s="158">
        <f t="shared" si="6"/>
        <v>1904000</v>
      </c>
      <c r="J26" s="158">
        <v>0</v>
      </c>
      <c r="K26" s="158">
        <v>0</v>
      </c>
      <c r="L26" s="158">
        <f t="shared" si="7"/>
        <v>45600</v>
      </c>
      <c r="M26" s="159">
        <v>0</v>
      </c>
      <c r="N26" s="158">
        <f t="shared" si="10"/>
        <v>45600</v>
      </c>
      <c r="O26" s="158">
        <f t="shared" si="8"/>
        <v>1858400</v>
      </c>
      <c r="P26" s="156">
        <v>45476</v>
      </c>
      <c r="Q26" s="160" t="s">
        <v>24</v>
      </c>
      <c r="R26" s="159">
        <v>1858400</v>
      </c>
      <c r="S26" s="158">
        <f t="shared" si="9"/>
        <v>0</v>
      </c>
      <c r="T26" s="155" t="s">
        <v>112</v>
      </c>
    </row>
    <row r="27" spans="1:20" ht="15">
      <c r="A27" s="169"/>
      <c r="B27" s="155" t="s">
        <v>340</v>
      </c>
      <c r="C27" s="155" t="s">
        <v>21</v>
      </c>
      <c r="D27" s="155" t="s">
        <v>47</v>
      </c>
      <c r="E27" s="156">
        <v>45401</v>
      </c>
      <c r="F27" s="155" t="s">
        <v>341</v>
      </c>
      <c r="G27" s="157">
        <v>1680000</v>
      </c>
      <c r="H27" s="158">
        <f t="shared" si="5"/>
        <v>319200</v>
      </c>
      <c r="I27" s="158">
        <f t="shared" si="6"/>
        <v>1999200</v>
      </c>
      <c r="J27" s="158">
        <v>0</v>
      </c>
      <c r="K27" s="158">
        <v>0</v>
      </c>
      <c r="L27" s="158">
        <f t="shared" si="7"/>
        <v>47880</v>
      </c>
      <c r="M27" s="159">
        <v>0</v>
      </c>
      <c r="N27" s="158">
        <f t="shared" si="10"/>
        <v>47880</v>
      </c>
      <c r="O27" s="158">
        <f t="shared" si="8"/>
        <v>1951320</v>
      </c>
      <c r="P27" s="156">
        <v>45448</v>
      </c>
      <c r="Q27" s="160" t="s">
        <v>24</v>
      </c>
      <c r="R27" s="159">
        <v>1951320</v>
      </c>
      <c r="S27" s="158">
        <f t="shared" si="9"/>
        <v>0</v>
      </c>
      <c r="T27" s="155" t="s">
        <v>112</v>
      </c>
    </row>
    <row r="28" spans="1:20" ht="15">
      <c r="A28" s="169"/>
      <c r="B28" s="155" t="s">
        <v>342</v>
      </c>
      <c r="C28" s="155" t="s">
        <v>343</v>
      </c>
      <c r="D28" s="155" t="s">
        <v>318</v>
      </c>
      <c r="E28" s="156">
        <v>45408</v>
      </c>
      <c r="F28" s="155" t="s">
        <v>344</v>
      </c>
      <c r="G28" s="157">
        <v>58824</v>
      </c>
      <c r="H28" s="158">
        <f t="shared" si="5"/>
        <v>11176.56</v>
      </c>
      <c r="I28" s="158">
        <f t="shared" si="6"/>
        <v>70000.56</v>
      </c>
      <c r="J28" s="158">
        <v>0</v>
      </c>
      <c r="K28" s="158">
        <v>0</v>
      </c>
      <c r="L28" s="158">
        <v>0</v>
      </c>
      <c r="M28" s="159">
        <v>0</v>
      </c>
      <c r="N28" s="158">
        <f t="shared" si="10"/>
        <v>0</v>
      </c>
      <c r="O28" s="158">
        <f t="shared" si="8"/>
        <v>70000.56</v>
      </c>
      <c r="P28" s="156">
        <v>45408</v>
      </c>
      <c r="Q28" s="155" t="s">
        <v>135</v>
      </c>
      <c r="R28" s="159">
        <v>70001</v>
      </c>
      <c r="S28" s="158">
        <f t="shared" si="9"/>
        <v>-0.44000000000232831</v>
      </c>
      <c r="T28" s="155" t="s">
        <v>112</v>
      </c>
    </row>
    <row r="29" spans="1:20" ht="15">
      <c r="A29" s="169"/>
      <c r="B29" s="161"/>
      <c r="C29" s="161"/>
      <c r="D29" s="161"/>
      <c r="E29" s="161"/>
      <c r="F29" s="161"/>
      <c r="G29" s="179">
        <f t="shared" ref="G29:T29" si="11">SUM(G19:G28)</f>
        <v>13798824</v>
      </c>
      <c r="H29" s="179">
        <f t="shared" si="11"/>
        <v>2621776.56</v>
      </c>
      <c r="I29" s="179">
        <f t="shared" si="11"/>
        <v>16420600.560000001</v>
      </c>
      <c r="J29" s="179">
        <f t="shared" si="11"/>
        <v>0</v>
      </c>
      <c r="K29" s="179">
        <f t="shared" si="11"/>
        <v>0</v>
      </c>
      <c r="L29" s="179">
        <f t="shared" si="11"/>
        <v>391590</v>
      </c>
      <c r="M29" s="179">
        <f t="shared" si="11"/>
        <v>0</v>
      </c>
      <c r="N29" s="179">
        <f t="shared" si="11"/>
        <v>391590</v>
      </c>
      <c r="O29" s="179">
        <f t="shared" si="11"/>
        <v>16029010.560000001</v>
      </c>
      <c r="P29" s="179">
        <f t="shared" si="11"/>
        <v>409076</v>
      </c>
      <c r="Q29" s="179">
        <f t="shared" si="11"/>
        <v>0</v>
      </c>
      <c r="R29" s="179">
        <f>SUM(R19:R28)</f>
        <v>14077691</v>
      </c>
      <c r="S29" s="179">
        <f t="shared" si="11"/>
        <v>1951319.56</v>
      </c>
      <c r="T29" s="179">
        <f t="shared" si="11"/>
        <v>0</v>
      </c>
    </row>
    <row r="30" spans="1:20" ht="15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</row>
    <row r="31" spans="1:20" ht="15">
      <c r="A31" s="169" t="s">
        <v>121</v>
      </c>
      <c r="B31" s="155"/>
      <c r="C31" s="155"/>
      <c r="D31" s="155"/>
      <c r="E31" s="156"/>
      <c r="F31" s="155"/>
      <c r="G31" s="157"/>
      <c r="H31" s="158"/>
      <c r="I31" s="158"/>
      <c r="J31" s="158"/>
      <c r="K31" s="158"/>
      <c r="L31" s="158"/>
      <c r="M31" s="159"/>
      <c r="N31" s="158"/>
      <c r="O31" s="158"/>
      <c r="P31" s="156"/>
      <c r="Q31" s="160"/>
      <c r="R31" s="159"/>
      <c r="S31" s="158"/>
      <c r="T31" s="155"/>
    </row>
    <row r="32" spans="1:20" ht="15">
      <c r="A32" s="169"/>
      <c r="B32" s="161"/>
      <c r="C32" s="161"/>
      <c r="D32" s="161"/>
      <c r="E32" s="161"/>
      <c r="F32" s="161"/>
      <c r="G32" s="179">
        <f t="shared" ref="G32:T32" si="12">SUM(G31:G31)</f>
        <v>0</v>
      </c>
      <c r="H32" s="179">
        <f t="shared" si="12"/>
        <v>0</v>
      </c>
      <c r="I32" s="179">
        <f t="shared" si="12"/>
        <v>0</v>
      </c>
      <c r="J32" s="179">
        <f t="shared" si="12"/>
        <v>0</v>
      </c>
      <c r="K32" s="179">
        <f t="shared" si="12"/>
        <v>0</v>
      </c>
      <c r="L32" s="179">
        <f t="shared" si="12"/>
        <v>0</v>
      </c>
      <c r="M32" s="179">
        <f t="shared" si="12"/>
        <v>0</v>
      </c>
      <c r="N32" s="179">
        <f t="shared" si="12"/>
        <v>0</v>
      </c>
      <c r="O32" s="179">
        <f t="shared" si="12"/>
        <v>0</v>
      </c>
      <c r="P32" s="179">
        <f t="shared" si="12"/>
        <v>0</v>
      </c>
      <c r="Q32" s="179">
        <f t="shared" si="12"/>
        <v>0</v>
      </c>
      <c r="R32" s="179">
        <f t="shared" si="12"/>
        <v>0</v>
      </c>
      <c r="S32" s="179">
        <f t="shared" si="12"/>
        <v>0</v>
      </c>
      <c r="T32" s="179">
        <f t="shared" si="12"/>
        <v>0</v>
      </c>
    </row>
    <row r="33" spans="1:20" ht="15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</row>
    <row r="34" spans="1:20" ht="15">
      <c r="A34" s="169" t="s">
        <v>137</v>
      </c>
      <c r="B34" s="155"/>
      <c r="C34" s="155"/>
      <c r="D34" s="155"/>
      <c r="E34" s="156"/>
      <c r="F34" s="155"/>
      <c r="G34" s="157"/>
      <c r="H34" s="158"/>
      <c r="I34" s="158"/>
      <c r="J34" s="158"/>
      <c r="K34" s="158"/>
      <c r="L34" s="158"/>
      <c r="M34" s="159"/>
      <c r="N34" s="158"/>
      <c r="O34" s="158"/>
      <c r="P34" s="156"/>
      <c r="Q34" s="160"/>
      <c r="R34" s="159"/>
      <c r="S34" s="158"/>
      <c r="T34" s="155"/>
    </row>
    <row r="35" spans="1:20" ht="15">
      <c r="A35" s="169"/>
      <c r="B35" s="161"/>
      <c r="C35" s="161"/>
      <c r="D35" s="161"/>
      <c r="E35" s="161"/>
      <c r="F35" s="161"/>
      <c r="G35" s="179">
        <f t="shared" ref="G35" si="13">SUM(G34:G34)</f>
        <v>0</v>
      </c>
      <c r="H35" s="179">
        <f t="shared" ref="H35" si="14">SUM(H34:H34)</f>
        <v>0</v>
      </c>
      <c r="I35" s="179">
        <f t="shared" ref="I35" si="15">SUM(I34:I34)</f>
        <v>0</v>
      </c>
      <c r="J35" s="179">
        <f t="shared" ref="J35" si="16">SUM(J34:J34)</f>
        <v>0</v>
      </c>
      <c r="K35" s="179">
        <f t="shared" ref="K35" si="17">SUM(K34:K34)</f>
        <v>0</v>
      </c>
      <c r="L35" s="179">
        <f t="shared" ref="L35" si="18">SUM(L34:L34)</f>
        <v>0</v>
      </c>
      <c r="M35" s="179">
        <f t="shared" ref="M35" si="19">SUM(M34:M34)</f>
        <v>0</v>
      </c>
      <c r="N35" s="179">
        <f t="shared" ref="N35" si="20">SUM(N34:N34)</f>
        <v>0</v>
      </c>
      <c r="O35" s="179">
        <f t="shared" ref="O35" si="21">SUM(O34:O34)</f>
        <v>0</v>
      </c>
      <c r="P35" s="179">
        <f t="shared" ref="P35" si="22">SUM(P34:P34)</f>
        <v>0</v>
      </c>
      <c r="Q35" s="179">
        <f t="shared" ref="Q35" si="23">SUM(Q34:Q34)</f>
        <v>0</v>
      </c>
      <c r="R35" s="179">
        <f t="shared" ref="R35" si="24">SUM(R34:R34)</f>
        <v>0</v>
      </c>
      <c r="S35" s="179">
        <f t="shared" ref="S35" si="25">SUM(S34:S34)</f>
        <v>0</v>
      </c>
      <c r="T35" s="179">
        <f t="shared" ref="T35" si="26">SUM(T34:T34)</f>
        <v>0</v>
      </c>
    </row>
    <row r="36" spans="1:20" ht="15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</row>
    <row r="37" spans="1:20" ht="15">
      <c r="A37" s="169" t="s">
        <v>160</v>
      </c>
      <c r="B37" s="155" t="s">
        <v>345</v>
      </c>
      <c r="C37" s="155" t="s">
        <v>346</v>
      </c>
      <c r="D37" s="155" t="s">
        <v>347</v>
      </c>
      <c r="E37" s="156">
        <v>45475</v>
      </c>
      <c r="F37" s="155" t="s">
        <v>348</v>
      </c>
      <c r="G37" s="157">
        <v>4800000</v>
      </c>
      <c r="H37" s="158">
        <v>912000</v>
      </c>
      <c r="I37" s="158">
        <v>5712000</v>
      </c>
      <c r="J37" s="158">
        <v>0</v>
      </c>
      <c r="K37" s="158">
        <v>0</v>
      </c>
      <c r="L37" s="158">
        <f t="shared" ref="L37:L49" si="27">H37*0.15</f>
        <v>136800</v>
      </c>
      <c r="M37" s="159">
        <v>0</v>
      </c>
      <c r="N37" s="158">
        <f t="shared" ref="N37:N49" si="28">SUM(J37:M37)</f>
        <v>136800</v>
      </c>
      <c r="O37" s="158">
        <f t="shared" ref="O37:O40" si="29">+I37-N37</f>
        <v>5575200</v>
      </c>
      <c r="P37" s="156"/>
      <c r="Q37" s="160" t="s">
        <v>24</v>
      </c>
      <c r="R37" s="159"/>
      <c r="S37" s="158">
        <f t="shared" ref="S37:S49" si="30">+O37-R37</f>
        <v>5575200</v>
      </c>
      <c r="T37" s="155" t="s">
        <v>349</v>
      </c>
    </row>
    <row r="38" spans="1:20" ht="15">
      <c r="A38" s="169"/>
      <c r="B38" s="155" t="s">
        <v>350</v>
      </c>
      <c r="C38" s="155" t="s">
        <v>21</v>
      </c>
      <c r="D38" s="155" t="s">
        <v>47</v>
      </c>
      <c r="E38" s="156">
        <v>45476</v>
      </c>
      <c r="F38" s="155" t="s">
        <v>351</v>
      </c>
      <c r="G38" s="157">
        <v>360000</v>
      </c>
      <c r="H38" s="158">
        <v>68400</v>
      </c>
      <c r="I38" s="158">
        <f t="shared" ref="I38:I40" si="31">G38+H38</f>
        <v>428400</v>
      </c>
      <c r="J38" s="158">
        <v>0</v>
      </c>
      <c r="K38" s="158">
        <v>0</v>
      </c>
      <c r="L38" s="158">
        <f t="shared" si="27"/>
        <v>10260</v>
      </c>
      <c r="M38" s="159">
        <v>0</v>
      </c>
      <c r="N38" s="158">
        <f t="shared" si="28"/>
        <v>10260</v>
      </c>
      <c r="O38" s="158">
        <f t="shared" si="29"/>
        <v>418140</v>
      </c>
      <c r="P38" s="156"/>
      <c r="Q38" s="155" t="s">
        <v>135</v>
      </c>
      <c r="R38" s="159"/>
      <c r="S38" s="158">
        <f t="shared" si="30"/>
        <v>418140</v>
      </c>
      <c r="T38" s="155" t="s">
        <v>349</v>
      </c>
    </row>
    <row r="39" spans="1:20" ht="15">
      <c r="A39" s="169"/>
      <c r="B39" s="155" t="s">
        <v>352</v>
      </c>
      <c r="C39" s="155" t="s">
        <v>21</v>
      </c>
      <c r="D39" s="155" t="s">
        <v>47</v>
      </c>
      <c r="E39" s="156">
        <v>45476</v>
      </c>
      <c r="F39" s="155" t="s">
        <v>351</v>
      </c>
      <c r="G39" s="157">
        <v>360000</v>
      </c>
      <c r="H39" s="158">
        <v>68400</v>
      </c>
      <c r="I39" s="158">
        <f t="shared" si="31"/>
        <v>428400</v>
      </c>
      <c r="J39" s="158">
        <v>0</v>
      </c>
      <c r="K39" s="158">
        <v>0</v>
      </c>
      <c r="L39" s="158">
        <f t="shared" si="27"/>
        <v>10260</v>
      </c>
      <c r="M39" s="159">
        <v>0</v>
      </c>
      <c r="N39" s="158">
        <f t="shared" si="28"/>
        <v>10260</v>
      </c>
      <c r="O39" s="158">
        <f t="shared" si="29"/>
        <v>418140</v>
      </c>
      <c r="P39" s="156"/>
      <c r="Q39" s="155" t="s">
        <v>135</v>
      </c>
      <c r="R39" s="159"/>
      <c r="S39" s="158">
        <f t="shared" si="30"/>
        <v>418140</v>
      </c>
      <c r="T39" s="155" t="s">
        <v>349</v>
      </c>
    </row>
    <row r="40" spans="1:20" ht="15">
      <c r="A40" s="169"/>
      <c r="B40" s="155" t="s">
        <v>353</v>
      </c>
      <c r="C40" s="155" t="s">
        <v>21</v>
      </c>
      <c r="D40" s="155" t="s">
        <v>47</v>
      </c>
      <c r="E40" s="156">
        <v>45492</v>
      </c>
      <c r="F40" s="155" t="s">
        <v>328</v>
      </c>
      <c r="G40" s="157">
        <v>840000</v>
      </c>
      <c r="H40" s="158">
        <v>159600</v>
      </c>
      <c r="I40" s="158">
        <f t="shared" si="31"/>
        <v>999600</v>
      </c>
      <c r="J40" s="158">
        <v>0</v>
      </c>
      <c r="K40" s="158">
        <v>0</v>
      </c>
      <c r="L40" s="158">
        <f t="shared" si="27"/>
        <v>23940</v>
      </c>
      <c r="M40" s="159">
        <v>16321</v>
      </c>
      <c r="N40" s="158">
        <f t="shared" si="28"/>
        <v>40261</v>
      </c>
      <c r="O40" s="158">
        <f t="shared" si="29"/>
        <v>959339</v>
      </c>
      <c r="P40" s="156">
        <v>45531</v>
      </c>
      <c r="Q40" s="155" t="s">
        <v>354</v>
      </c>
      <c r="R40" s="159">
        <v>959339</v>
      </c>
      <c r="S40" s="158">
        <f t="shared" si="30"/>
        <v>0</v>
      </c>
      <c r="T40" s="155" t="s">
        <v>112</v>
      </c>
    </row>
    <row r="41" spans="1:20" ht="15">
      <c r="A41" s="169"/>
      <c r="B41" s="155" t="s">
        <v>355</v>
      </c>
      <c r="C41" s="155" t="s">
        <v>21</v>
      </c>
      <c r="D41" s="155" t="s">
        <v>47</v>
      </c>
      <c r="E41" s="156">
        <v>45492</v>
      </c>
      <c r="F41" s="155" t="s">
        <v>356</v>
      </c>
      <c r="G41" s="157">
        <v>1760000</v>
      </c>
      <c r="H41" s="158">
        <v>334400</v>
      </c>
      <c r="I41" s="158">
        <v>2094400</v>
      </c>
      <c r="J41" s="158">
        <v>0</v>
      </c>
      <c r="K41" s="158">
        <v>0</v>
      </c>
      <c r="L41" s="158">
        <f t="shared" si="27"/>
        <v>50160</v>
      </c>
      <c r="M41" s="159">
        <v>17098</v>
      </c>
      <c r="N41" s="158">
        <f t="shared" si="28"/>
        <v>67258</v>
      </c>
      <c r="O41" s="158">
        <f t="shared" ref="O41:O49" si="32">+I41-N41</f>
        <v>2027142</v>
      </c>
      <c r="P41" s="156">
        <v>45531</v>
      </c>
      <c r="Q41" s="155" t="s">
        <v>354</v>
      </c>
      <c r="R41" s="159">
        <v>2027142</v>
      </c>
      <c r="S41" s="158">
        <f t="shared" si="30"/>
        <v>0</v>
      </c>
      <c r="T41" s="155" t="s">
        <v>112</v>
      </c>
    </row>
    <row r="42" spans="1:20" ht="15">
      <c r="A42" s="169"/>
      <c r="B42" s="155" t="s">
        <v>357</v>
      </c>
      <c r="C42" s="155" t="s">
        <v>21</v>
      </c>
      <c r="D42" s="155" t="s">
        <v>47</v>
      </c>
      <c r="E42" s="156">
        <v>45492</v>
      </c>
      <c r="F42" s="155" t="s">
        <v>358</v>
      </c>
      <c r="G42" s="157">
        <v>850000</v>
      </c>
      <c r="H42" s="158">
        <v>161500</v>
      </c>
      <c r="I42" s="158">
        <v>1011500</v>
      </c>
      <c r="J42" s="158">
        <v>0</v>
      </c>
      <c r="K42" s="158">
        <v>0</v>
      </c>
      <c r="L42" s="158">
        <f t="shared" si="27"/>
        <v>24225</v>
      </c>
      <c r="M42" s="159">
        <v>16515</v>
      </c>
      <c r="N42" s="158">
        <f t="shared" si="28"/>
        <v>40740</v>
      </c>
      <c r="O42" s="158">
        <f t="shared" si="32"/>
        <v>970760</v>
      </c>
      <c r="P42" s="156">
        <v>45531</v>
      </c>
      <c r="Q42" s="155" t="s">
        <v>354</v>
      </c>
      <c r="R42" s="159">
        <v>970760</v>
      </c>
      <c r="S42" s="158">
        <f t="shared" si="30"/>
        <v>0</v>
      </c>
      <c r="T42" s="155" t="s">
        <v>112</v>
      </c>
    </row>
    <row r="43" spans="1:20" ht="15">
      <c r="A43" s="169"/>
      <c r="B43" s="155" t="s">
        <v>359</v>
      </c>
      <c r="C43" s="155" t="s">
        <v>21</v>
      </c>
      <c r="D43" s="155" t="s">
        <v>47</v>
      </c>
      <c r="E43" s="156">
        <v>45492</v>
      </c>
      <c r="F43" s="155" t="s">
        <v>360</v>
      </c>
      <c r="G43" s="157">
        <v>600000</v>
      </c>
      <c r="H43" s="158">
        <v>114000</v>
      </c>
      <c r="I43" s="158">
        <v>714000</v>
      </c>
      <c r="J43" s="158">
        <v>0</v>
      </c>
      <c r="K43" s="158">
        <v>0</v>
      </c>
      <c r="L43" s="158">
        <f t="shared" si="27"/>
        <v>17100</v>
      </c>
      <c r="M43" s="159">
        <v>0</v>
      </c>
      <c r="N43" s="158">
        <f t="shared" si="28"/>
        <v>17100</v>
      </c>
      <c r="O43" s="158">
        <f t="shared" si="32"/>
        <v>696900</v>
      </c>
      <c r="P43" s="156"/>
      <c r="Q43" s="155"/>
      <c r="R43" s="159"/>
      <c r="S43" s="158">
        <f t="shared" si="30"/>
        <v>696900</v>
      </c>
      <c r="T43" s="155" t="s">
        <v>349</v>
      </c>
    </row>
    <row r="44" spans="1:20" ht="15">
      <c r="A44" s="169"/>
      <c r="B44" s="155" t="s">
        <v>361</v>
      </c>
      <c r="C44" s="155" t="s">
        <v>21</v>
      </c>
      <c r="D44" s="155" t="s">
        <v>47</v>
      </c>
      <c r="E44" s="156">
        <v>45492</v>
      </c>
      <c r="F44" s="155" t="s">
        <v>362</v>
      </c>
      <c r="G44" s="157">
        <v>600000</v>
      </c>
      <c r="H44" s="158">
        <v>114000</v>
      </c>
      <c r="I44" s="158">
        <v>714000</v>
      </c>
      <c r="J44" s="158">
        <v>0</v>
      </c>
      <c r="K44" s="158">
        <v>0</v>
      </c>
      <c r="L44" s="158">
        <f t="shared" si="27"/>
        <v>17100</v>
      </c>
      <c r="M44" s="159">
        <v>11658</v>
      </c>
      <c r="N44" s="158">
        <f t="shared" si="28"/>
        <v>28758</v>
      </c>
      <c r="O44" s="158">
        <f t="shared" si="32"/>
        <v>685242</v>
      </c>
      <c r="P44" s="156">
        <v>45531</v>
      </c>
      <c r="Q44" s="155" t="s">
        <v>354</v>
      </c>
      <c r="R44" s="159">
        <v>685242</v>
      </c>
      <c r="S44" s="158">
        <f t="shared" si="30"/>
        <v>0</v>
      </c>
      <c r="T44" s="155" t="s">
        <v>112</v>
      </c>
    </row>
    <row r="45" spans="1:20" ht="15">
      <c r="A45" s="169"/>
      <c r="B45" s="155" t="s">
        <v>363</v>
      </c>
      <c r="C45" s="155" t="s">
        <v>21</v>
      </c>
      <c r="D45" s="155" t="s">
        <v>47</v>
      </c>
      <c r="E45" s="156">
        <v>45492</v>
      </c>
      <c r="F45" s="155" t="s">
        <v>364</v>
      </c>
      <c r="G45" s="157">
        <v>1600000</v>
      </c>
      <c r="H45" s="158">
        <v>304000</v>
      </c>
      <c r="I45" s="158">
        <v>1904000</v>
      </c>
      <c r="J45" s="158">
        <v>0</v>
      </c>
      <c r="K45" s="158">
        <v>0</v>
      </c>
      <c r="L45" s="158">
        <f t="shared" si="27"/>
        <v>45600</v>
      </c>
      <c r="M45" s="159">
        <v>0</v>
      </c>
      <c r="N45" s="158">
        <f t="shared" si="28"/>
        <v>45600</v>
      </c>
      <c r="O45" s="158">
        <f t="shared" si="32"/>
        <v>1858400</v>
      </c>
      <c r="P45" s="156">
        <v>45552</v>
      </c>
      <c r="Q45" s="155" t="s">
        <v>354</v>
      </c>
      <c r="R45" s="159">
        <v>1858400</v>
      </c>
      <c r="S45" s="158">
        <f t="shared" si="30"/>
        <v>0</v>
      </c>
      <c r="T45" s="155" t="s">
        <v>112</v>
      </c>
    </row>
    <row r="46" spans="1:20" ht="15">
      <c r="A46" s="169"/>
      <c r="B46" s="155" t="s">
        <v>365</v>
      </c>
      <c r="C46" s="155" t="s">
        <v>21</v>
      </c>
      <c r="D46" s="155" t="s">
        <v>47</v>
      </c>
      <c r="E46" s="156">
        <v>45492</v>
      </c>
      <c r="F46" s="155" t="s">
        <v>366</v>
      </c>
      <c r="G46" s="157">
        <v>1050000</v>
      </c>
      <c r="H46" s="158">
        <v>199500</v>
      </c>
      <c r="I46" s="158">
        <v>1249500</v>
      </c>
      <c r="J46" s="158">
        <v>0</v>
      </c>
      <c r="K46" s="158">
        <v>0</v>
      </c>
      <c r="L46" s="158">
        <f t="shared" si="27"/>
        <v>29925</v>
      </c>
      <c r="M46" s="159">
        <v>0</v>
      </c>
      <c r="N46" s="158">
        <f t="shared" si="28"/>
        <v>29925</v>
      </c>
      <c r="O46" s="158">
        <f t="shared" si="32"/>
        <v>1219575</v>
      </c>
      <c r="P46" s="156">
        <v>45552</v>
      </c>
      <c r="Q46" s="155" t="s">
        <v>354</v>
      </c>
      <c r="R46" s="159">
        <v>1219575</v>
      </c>
      <c r="S46" s="158">
        <f t="shared" si="30"/>
        <v>0</v>
      </c>
      <c r="T46" s="155" t="s">
        <v>112</v>
      </c>
    </row>
    <row r="47" spans="1:20" ht="15">
      <c r="A47" s="169"/>
      <c r="B47" s="155" t="s">
        <v>367</v>
      </c>
      <c r="C47" s="155" t="s">
        <v>21</v>
      </c>
      <c r="D47" s="155" t="s">
        <v>47</v>
      </c>
      <c r="E47" s="156">
        <v>45492</v>
      </c>
      <c r="F47" s="155" t="s">
        <v>368</v>
      </c>
      <c r="G47" s="157">
        <v>950000</v>
      </c>
      <c r="H47" s="158">
        <v>180500</v>
      </c>
      <c r="I47" s="158">
        <v>1130500</v>
      </c>
      <c r="J47" s="158">
        <v>0</v>
      </c>
      <c r="K47" s="158">
        <v>0</v>
      </c>
      <c r="L47" s="158">
        <f t="shared" si="27"/>
        <v>27075</v>
      </c>
      <c r="M47" s="159">
        <v>0</v>
      </c>
      <c r="N47" s="158">
        <f t="shared" si="28"/>
        <v>27075</v>
      </c>
      <c r="O47" s="158">
        <f t="shared" si="32"/>
        <v>1103425</v>
      </c>
      <c r="P47" s="156">
        <v>45552</v>
      </c>
      <c r="Q47" s="155" t="s">
        <v>354</v>
      </c>
      <c r="R47" s="159">
        <v>1103425</v>
      </c>
      <c r="S47" s="158">
        <f t="shared" si="30"/>
        <v>0</v>
      </c>
      <c r="T47" s="155" t="s">
        <v>112</v>
      </c>
    </row>
    <row r="48" spans="1:20" ht="15">
      <c r="A48" s="169"/>
      <c r="B48" s="155" t="s">
        <v>369</v>
      </c>
      <c r="C48" s="155" t="s">
        <v>21</v>
      </c>
      <c r="D48" s="155" t="s">
        <v>47</v>
      </c>
      <c r="E48" s="156">
        <v>45492</v>
      </c>
      <c r="F48" s="155" t="s">
        <v>370</v>
      </c>
      <c r="G48" s="157">
        <v>500000</v>
      </c>
      <c r="H48" s="158">
        <v>95000</v>
      </c>
      <c r="I48" s="158">
        <v>595000</v>
      </c>
      <c r="J48" s="158">
        <v>0</v>
      </c>
      <c r="K48" s="158">
        <v>0</v>
      </c>
      <c r="L48" s="158">
        <f t="shared" si="27"/>
        <v>14250</v>
      </c>
      <c r="M48" s="159">
        <v>0</v>
      </c>
      <c r="N48" s="158">
        <f t="shared" si="28"/>
        <v>14250</v>
      </c>
      <c r="O48" s="158">
        <f t="shared" si="32"/>
        <v>580750</v>
      </c>
      <c r="P48" s="156">
        <v>45595</v>
      </c>
      <c r="Q48" s="155" t="s">
        <v>354</v>
      </c>
      <c r="R48" s="159">
        <v>580750</v>
      </c>
      <c r="S48" s="158">
        <f t="shared" si="30"/>
        <v>0</v>
      </c>
      <c r="T48" s="155" t="s">
        <v>112</v>
      </c>
    </row>
    <row r="49" spans="1:20" ht="15">
      <c r="A49" s="169"/>
      <c r="B49" s="155" t="s">
        <v>371</v>
      </c>
      <c r="C49" s="155" t="s">
        <v>21</v>
      </c>
      <c r="D49" s="155" t="s">
        <v>47</v>
      </c>
      <c r="E49" s="156">
        <v>45492</v>
      </c>
      <c r="F49" s="155" t="s">
        <v>372</v>
      </c>
      <c r="G49" s="157">
        <v>2000000</v>
      </c>
      <c r="H49" s="158">
        <v>380000</v>
      </c>
      <c r="I49" s="158">
        <v>2380000</v>
      </c>
      <c r="J49" s="158">
        <v>0</v>
      </c>
      <c r="K49" s="158">
        <v>0</v>
      </c>
      <c r="L49" s="158">
        <f t="shared" si="27"/>
        <v>57000</v>
      </c>
      <c r="M49" s="159">
        <v>38860</v>
      </c>
      <c r="N49" s="158">
        <f t="shared" si="28"/>
        <v>95860</v>
      </c>
      <c r="O49" s="158">
        <f t="shared" si="32"/>
        <v>2284140</v>
      </c>
      <c r="P49" s="156">
        <v>45521</v>
      </c>
      <c r="Q49" s="155" t="s">
        <v>354</v>
      </c>
      <c r="R49" s="159">
        <v>2284140</v>
      </c>
      <c r="S49" s="158">
        <f t="shared" si="30"/>
        <v>0</v>
      </c>
      <c r="T49" s="155" t="s">
        <v>112</v>
      </c>
    </row>
    <row r="50" spans="1:20" ht="15">
      <c r="A50" s="169"/>
      <c r="B50" s="161"/>
      <c r="C50" s="161"/>
      <c r="D50" s="161"/>
      <c r="E50" s="161"/>
      <c r="F50" s="161"/>
      <c r="G50" s="179">
        <f>SUM(G37:G49)</f>
        <v>16270000</v>
      </c>
      <c r="H50" s="179">
        <f>SUM(H37:H49)</f>
        <v>3091300</v>
      </c>
      <c r="I50" s="179">
        <f>SUM(I37:I49)</f>
        <v>19361300</v>
      </c>
      <c r="J50" s="179">
        <f>SUM(J37:J37)</f>
        <v>0</v>
      </c>
      <c r="K50" s="179">
        <f>SUM(K37:K37)</f>
        <v>0</v>
      </c>
      <c r="L50" s="179">
        <f>SUM(L37:L49)</f>
        <v>463695</v>
      </c>
      <c r="M50" s="179">
        <f>SUM(M37:M37)</f>
        <v>0</v>
      </c>
      <c r="N50" s="179">
        <f>SUM(N37:N49)</f>
        <v>564147</v>
      </c>
      <c r="O50" s="179">
        <f>SUM(O37:O49)</f>
        <v>18797153</v>
      </c>
      <c r="P50" s="179">
        <f>SUM(P37:P37)</f>
        <v>0</v>
      </c>
      <c r="Q50" s="179">
        <f>SUM(Q37:Q37)</f>
        <v>0</v>
      </c>
      <c r="R50" s="179">
        <f>SUM(R37:R49)</f>
        <v>11688773</v>
      </c>
      <c r="S50" s="179">
        <f>SUM(S37:S49)</f>
        <v>7108380</v>
      </c>
      <c r="T50" s="179">
        <f>SUM(T37:T37)</f>
        <v>0</v>
      </c>
    </row>
    <row r="51" spans="1:20" ht="15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</row>
    <row r="52" spans="1:20" ht="15">
      <c r="A52" s="169" t="s">
        <v>171</v>
      </c>
      <c r="B52" s="155" t="s">
        <v>373</v>
      </c>
      <c r="C52" s="167" t="s">
        <v>374</v>
      </c>
      <c r="D52" s="155" t="s">
        <v>375</v>
      </c>
      <c r="E52" s="156">
        <v>45517</v>
      </c>
      <c r="F52" s="180" t="s">
        <v>376</v>
      </c>
      <c r="G52" s="157">
        <v>3300000</v>
      </c>
      <c r="H52" s="158">
        <v>627000</v>
      </c>
      <c r="I52" s="158">
        <v>3927000</v>
      </c>
      <c r="J52" s="158">
        <v>0</v>
      </c>
      <c r="K52" s="158">
        <v>0</v>
      </c>
      <c r="L52" s="158">
        <f t="shared" ref="L52" si="33">H52*0.15</f>
        <v>94050</v>
      </c>
      <c r="M52" s="159">
        <v>0</v>
      </c>
      <c r="N52" s="158">
        <f t="shared" ref="N52" si="34">SUM(J52:M52)</f>
        <v>94050</v>
      </c>
      <c r="O52" s="158">
        <f t="shared" ref="O52" si="35">+I52-N52</f>
        <v>3832950</v>
      </c>
      <c r="P52" s="156"/>
      <c r="Q52" s="160"/>
      <c r="R52" s="159"/>
      <c r="S52" s="158">
        <f t="shared" ref="S52" si="36">+O52-R52</f>
        <v>3832950</v>
      </c>
      <c r="T52" s="155" t="s">
        <v>349</v>
      </c>
    </row>
    <row r="53" spans="1:20" ht="15">
      <c r="A53" s="169"/>
      <c r="B53" s="161"/>
      <c r="C53" s="161"/>
      <c r="D53" s="161"/>
      <c r="E53" s="161"/>
      <c r="F53" s="161"/>
      <c r="G53" s="179">
        <f t="shared" ref="G53" si="37">SUM(G43:G52)</f>
        <v>26870000</v>
      </c>
      <c r="H53" s="179">
        <f t="shared" ref="H53:T53" si="38">SUM(H52:H52)</f>
        <v>627000</v>
      </c>
      <c r="I53" s="179">
        <f t="shared" si="38"/>
        <v>3927000</v>
      </c>
      <c r="J53" s="179">
        <f t="shared" si="38"/>
        <v>0</v>
      </c>
      <c r="K53" s="179">
        <f t="shared" si="38"/>
        <v>0</v>
      </c>
      <c r="L53" s="179">
        <f t="shared" si="38"/>
        <v>94050</v>
      </c>
      <c r="M53" s="179">
        <f t="shared" si="38"/>
        <v>0</v>
      </c>
      <c r="N53" s="179">
        <f t="shared" si="38"/>
        <v>94050</v>
      </c>
      <c r="O53" s="179">
        <f t="shared" si="38"/>
        <v>3832950</v>
      </c>
      <c r="P53" s="179">
        <f t="shared" si="38"/>
        <v>0</v>
      </c>
      <c r="Q53" s="179">
        <f t="shared" si="38"/>
        <v>0</v>
      </c>
      <c r="R53" s="179">
        <f t="shared" si="38"/>
        <v>0</v>
      </c>
      <c r="S53" s="179">
        <f t="shared" si="38"/>
        <v>3832950</v>
      </c>
      <c r="T53" s="179">
        <f t="shared" si="38"/>
        <v>0</v>
      </c>
    </row>
    <row r="54" spans="1:20" ht="15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</row>
    <row r="55" spans="1:20" ht="15">
      <c r="A55" s="181" t="s">
        <v>209</v>
      </c>
      <c r="B55" s="155" t="s">
        <v>377</v>
      </c>
      <c r="C55" s="182" t="s">
        <v>378</v>
      </c>
      <c r="D55" s="155" t="s">
        <v>47</v>
      </c>
      <c r="E55" s="156">
        <v>45555</v>
      </c>
      <c r="F55" s="180" t="s">
        <v>379</v>
      </c>
      <c r="G55" s="157">
        <v>660000</v>
      </c>
      <c r="H55" s="158">
        <v>125400</v>
      </c>
      <c r="I55" s="158">
        <v>785400</v>
      </c>
      <c r="J55" s="158">
        <v>0</v>
      </c>
      <c r="K55" s="158">
        <v>0</v>
      </c>
      <c r="L55" s="158">
        <f t="shared" ref="L55:L64" si="39">H55*0.15</f>
        <v>18810</v>
      </c>
      <c r="M55" s="159">
        <v>0</v>
      </c>
      <c r="N55" s="158">
        <f t="shared" ref="N55:N64" si="40">SUM(J55:M55)</f>
        <v>18810</v>
      </c>
      <c r="O55" s="158">
        <f t="shared" ref="O55:O64" si="41">+I55-N55</f>
        <v>766590</v>
      </c>
      <c r="P55" s="156"/>
      <c r="Q55" s="160"/>
      <c r="R55" s="159"/>
      <c r="S55" s="158">
        <f t="shared" ref="S55:S64" si="42">+O55-R55</f>
        <v>766590</v>
      </c>
      <c r="T55" s="155" t="s">
        <v>349</v>
      </c>
    </row>
    <row r="56" spans="1:20" ht="15">
      <c r="A56" s="183"/>
      <c r="B56" s="155" t="s">
        <v>380</v>
      </c>
      <c r="C56" s="182" t="s">
        <v>378</v>
      </c>
      <c r="D56" s="155" t="s">
        <v>47</v>
      </c>
      <c r="E56" s="184">
        <v>45555</v>
      </c>
      <c r="F56" s="185" t="s">
        <v>381</v>
      </c>
      <c r="G56" s="186">
        <v>1120000</v>
      </c>
      <c r="H56" s="158">
        <v>212800</v>
      </c>
      <c r="I56" s="158">
        <v>1332800</v>
      </c>
      <c r="J56" s="158">
        <v>0</v>
      </c>
      <c r="K56" s="158">
        <v>0</v>
      </c>
      <c r="L56" s="158">
        <f t="shared" si="39"/>
        <v>31920</v>
      </c>
      <c r="M56" s="159">
        <v>0</v>
      </c>
      <c r="N56" s="158">
        <f t="shared" si="40"/>
        <v>31920</v>
      </c>
      <c r="O56" s="158">
        <f t="shared" si="41"/>
        <v>1300880</v>
      </c>
      <c r="P56" s="156">
        <v>45615</v>
      </c>
      <c r="Q56" s="160" t="s">
        <v>354</v>
      </c>
      <c r="R56" s="159">
        <v>1300880</v>
      </c>
      <c r="S56" s="158">
        <f t="shared" si="42"/>
        <v>0</v>
      </c>
      <c r="T56" s="155" t="s">
        <v>112</v>
      </c>
    </row>
    <row r="57" spans="1:20" ht="15">
      <c r="A57" s="183"/>
      <c r="B57" s="155" t="s">
        <v>382</v>
      </c>
      <c r="C57" s="182" t="s">
        <v>378</v>
      </c>
      <c r="D57" s="155" t="s">
        <v>47</v>
      </c>
      <c r="E57" s="184">
        <v>45555</v>
      </c>
      <c r="F57" s="187" t="s">
        <v>383</v>
      </c>
      <c r="G57" s="186">
        <v>1700000</v>
      </c>
      <c r="H57" s="158">
        <v>323000</v>
      </c>
      <c r="I57" s="158">
        <v>2023000</v>
      </c>
      <c r="J57" s="158">
        <v>0</v>
      </c>
      <c r="K57" s="158">
        <v>0</v>
      </c>
      <c r="L57" s="158">
        <f t="shared" si="39"/>
        <v>48450</v>
      </c>
      <c r="M57" s="159">
        <v>0</v>
      </c>
      <c r="N57" s="158">
        <f t="shared" si="40"/>
        <v>48450</v>
      </c>
      <c r="O57" s="158">
        <f t="shared" si="41"/>
        <v>1974550</v>
      </c>
      <c r="P57" s="156">
        <v>45656</v>
      </c>
      <c r="Q57" s="160" t="s">
        <v>354</v>
      </c>
      <c r="R57" s="159">
        <v>1974550</v>
      </c>
      <c r="S57" s="158">
        <f t="shared" si="42"/>
        <v>0</v>
      </c>
      <c r="T57" s="155" t="s">
        <v>112</v>
      </c>
    </row>
    <row r="58" spans="1:20" ht="15">
      <c r="A58" s="183"/>
      <c r="B58" s="155" t="s">
        <v>384</v>
      </c>
      <c r="C58" s="182" t="s">
        <v>378</v>
      </c>
      <c r="D58" s="155" t="s">
        <v>47</v>
      </c>
      <c r="E58" s="184">
        <v>45555</v>
      </c>
      <c r="F58" s="188" t="s">
        <v>385</v>
      </c>
      <c r="G58" s="186">
        <v>240000</v>
      </c>
      <c r="H58" s="158">
        <v>45600</v>
      </c>
      <c r="I58" s="158">
        <v>285600</v>
      </c>
      <c r="J58" s="158">
        <v>0</v>
      </c>
      <c r="K58" s="158">
        <v>0</v>
      </c>
      <c r="L58" s="158">
        <f t="shared" si="39"/>
        <v>6840</v>
      </c>
      <c r="M58" s="159">
        <v>0</v>
      </c>
      <c r="N58" s="158">
        <f t="shared" si="40"/>
        <v>6840</v>
      </c>
      <c r="O58" s="158">
        <f t="shared" si="41"/>
        <v>278760</v>
      </c>
      <c r="P58" s="156">
        <v>45615</v>
      </c>
      <c r="Q58" s="160" t="s">
        <v>354</v>
      </c>
      <c r="R58" s="159">
        <v>278760</v>
      </c>
      <c r="S58" s="158">
        <f t="shared" si="42"/>
        <v>0</v>
      </c>
      <c r="T58" s="155" t="s">
        <v>112</v>
      </c>
    </row>
    <row r="59" spans="1:20" ht="15">
      <c r="A59" s="183"/>
      <c r="B59" s="155" t="s">
        <v>386</v>
      </c>
      <c r="C59" s="182" t="s">
        <v>378</v>
      </c>
      <c r="D59" s="155" t="s">
        <v>47</v>
      </c>
      <c r="E59" s="184">
        <v>45555</v>
      </c>
      <c r="F59" s="188" t="s">
        <v>387</v>
      </c>
      <c r="G59" s="186">
        <v>980000</v>
      </c>
      <c r="H59" s="158">
        <v>186200</v>
      </c>
      <c r="I59" s="158">
        <v>1166200</v>
      </c>
      <c r="J59" s="158">
        <v>0</v>
      </c>
      <c r="K59" s="158">
        <v>0</v>
      </c>
      <c r="L59" s="158">
        <f t="shared" si="39"/>
        <v>27930</v>
      </c>
      <c r="M59" s="159">
        <v>9521</v>
      </c>
      <c r="N59" s="158">
        <f t="shared" si="40"/>
        <v>37451</v>
      </c>
      <c r="O59" s="158">
        <f t="shared" si="41"/>
        <v>1128749</v>
      </c>
      <c r="P59" s="156">
        <v>45593</v>
      </c>
      <c r="Q59" s="160" t="s">
        <v>354</v>
      </c>
      <c r="R59" s="159">
        <v>1128749</v>
      </c>
      <c r="S59" s="158">
        <f t="shared" si="42"/>
        <v>0</v>
      </c>
      <c r="T59" s="155" t="s">
        <v>112</v>
      </c>
    </row>
    <row r="60" spans="1:20" ht="15">
      <c r="A60" s="183"/>
      <c r="B60" s="155" t="s">
        <v>388</v>
      </c>
      <c r="C60" s="182" t="s">
        <v>378</v>
      </c>
      <c r="D60" s="155" t="s">
        <v>47</v>
      </c>
      <c r="E60" s="184">
        <v>45555</v>
      </c>
      <c r="F60" s="188" t="s">
        <v>383</v>
      </c>
      <c r="G60" s="186">
        <v>3400000</v>
      </c>
      <c r="H60" s="158">
        <v>646000</v>
      </c>
      <c r="I60" s="158">
        <v>4046000</v>
      </c>
      <c r="J60" s="158">
        <v>0</v>
      </c>
      <c r="K60" s="158">
        <v>0</v>
      </c>
      <c r="L60" s="158">
        <f t="shared" si="39"/>
        <v>96900</v>
      </c>
      <c r="M60" s="159">
        <v>0</v>
      </c>
      <c r="N60" s="158">
        <f t="shared" si="40"/>
        <v>96900</v>
      </c>
      <c r="O60" s="158">
        <f t="shared" si="41"/>
        <v>3949100</v>
      </c>
      <c r="P60" s="156">
        <v>45615</v>
      </c>
      <c r="Q60" s="160" t="s">
        <v>354</v>
      </c>
      <c r="R60" s="159">
        <v>3949100</v>
      </c>
      <c r="S60" s="158">
        <f t="shared" si="42"/>
        <v>0</v>
      </c>
      <c r="T60" s="155" t="s">
        <v>112</v>
      </c>
    </row>
    <row r="61" spans="1:20" ht="15">
      <c r="A61" s="183"/>
      <c r="B61" s="155" t="s">
        <v>389</v>
      </c>
      <c r="C61" s="182" t="s">
        <v>378</v>
      </c>
      <c r="D61" s="155" t="s">
        <v>47</v>
      </c>
      <c r="E61" s="184">
        <v>45555</v>
      </c>
      <c r="F61" s="188" t="s">
        <v>390</v>
      </c>
      <c r="G61" s="186">
        <v>1333334</v>
      </c>
      <c r="H61" s="158">
        <v>253333</v>
      </c>
      <c r="I61" s="158">
        <v>1586667</v>
      </c>
      <c r="J61" s="158">
        <v>0</v>
      </c>
      <c r="K61" s="158">
        <v>0</v>
      </c>
      <c r="L61" s="158">
        <f t="shared" si="39"/>
        <v>37999.949999999997</v>
      </c>
      <c r="M61" s="159">
        <v>0</v>
      </c>
      <c r="N61" s="158">
        <f t="shared" si="40"/>
        <v>37999.949999999997</v>
      </c>
      <c r="O61" s="158">
        <f t="shared" si="41"/>
        <v>1548667.05</v>
      </c>
      <c r="P61" s="156">
        <v>45615</v>
      </c>
      <c r="Q61" s="160" t="s">
        <v>354</v>
      </c>
      <c r="R61" s="159">
        <v>1548667</v>
      </c>
      <c r="S61" s="158">
        <f t="shared" si="42"/>
        <v>5.0000000046566129E-2</v>
      </c>
      <c r="T61" s="155" t="s">
        <v>112</v>
      </c>
    </row>
    <row r="62" spans="1:20" ht="15">
      <c r="A62" s="183"/>
      <c r="B62" s="155" t="s">
        <v>391</v>
      </c>
      <c r="C62" s="167" t="s">
        <v>21</v>
      </c>
      <c r="D62" s="155" t="s">
        <v>47</v>
      </c>
      <c r="E62" s="184">
        <v>45555</v>
      </c>
      <c r="F62" s="188" t="s">
        <v>392</v>
      </c>
      <c r="G62" s="186">
        <v>2200000</v>
      </c>
      <c r="H62" s="158">
        <v>418000</v>
      </c>
      <c r="I62" s="158">
        <v>2618000</v>
      </c>
      <c r="J62" s="158">
        <v>0</v>
      </c>
      <c r="K62" s="158">
        <v>0</v>
      </c>
      <c r="L62" s="158">
        <f t="shared" si="39"/>
        <v>62700</v>
      </c>
      <c r="M62" s="159">
        <v>42746</v>
      </c>
      <c r="N62" s="158">
        <f t="shared" si="40"/>
        <v>105446</v>
      </c>
      <c r="O62" s="158">
        <f t="shared" si="41"/>
        <v>2512554</v>
      </c>
      <c r="P62" s="156">
        <v>45593</v>
      </c>
      <c r="Q62" s="160" t="s">
        <v>354</v>
      </c>
      <c r="R62" s="159">
        <v>2512554</v>
      </c>
      <c r="S62" s="158">
        <f t="shared" si="42"/>
        <v>0</v>
      </c>
      <c r="T62" s="155" t="s">
        <v>112</v>
      </c>
    </row>
    <row r="63" spans="1:20" ht="15">
      <c r="A63" s="183"/>
      <c r="B63" s="155" t="s">
        <v>393</v>
      </c>
      <c r="C63" s="167" t="s">
        <v>21</v>
      </c>
      <c r="D63" s="155" t="s">
        <v>47</v>
      </c>
      <c r="E63" s="184">
        <v>45555</v>
      </c>
      <c r="F63" s="188" t="s">
        <v>385</v>
      </c>
      <c r="G63" s="186">
        <v>430000</v>
      </c>
      <c r="H63" s="158">
        <v>81700</v>
      </c>
      <c r="I63" s="158">
        <v>511700</v>
      </c>
      <c r="J63" s="158">
        <v>0</v>
      </c>
      <c r="K63" s="158">
        <v>0</v>
      </c>
      <c r="L63" s="158">
        <f t="shared" si="39"/>
        <v>12255</v>
      </c>
      <c r="M63" s="159">
        <v>8355</v>
      </c>
      <c r="N63" s="158">
        <f t="shared" si="40"/>
        <v>20610</v>
      </c>
      <c r="O63" s="158">
        <f t="shared" si="41"/>
        <v>491090</v>
      </c>
      <c r="P63" s="156">
        <v>45580</v>
      </c>
      <c r="Q63" s="160" t="s">
        <v>354</v>
      </c>
      <c r="R63" s="159">
        <v>491090</v>
      </c>
      <c r="S63" s="158">
        <f t="shared" si="42"/>
        <v>0</v>
      </c>
      <c r="T63" s="155" t="s">
        <v>112</v>
      </c>
    </row>
    <row r="64" spans="1:20" ht="15">
      <c r="A64" s="183"/>
      <c r="B64" s="155" t="s">
        <v>394</v>
      </c>
      <c r="C64" s="167" t="s">
        <v>21</v>
      </c>
      <c r="D64" s="155" t="s">
        <v>47</v>
      </c>
      <c r="E64" s="184">
        <v>45555</v>
      </c>
      <c r="F64" s="185" t="s">
        <v>368</v>
      </c>
      <c r="G64" s="186">
        <v>2850000</v>
      </c>
      <c r="H64" s="158">
        <v>541500</v>
      </c>
      <c r="I64" s="158">
        <v>3391500</v>
      </c>
      <c r="J64" s="158">
        <v>0</v>
      </c>
      <c r="K64" s="158">
        <v>0</v>
      </c>
      <c r="L64" s="158">
        <f t="shared" si="39"/>
        <v>81225</v>
      </c>
      <c r="M64" s="159">
        <v>0</v>
      </c>
      <c r="N64" s="158">
        <f t="shared" si="40"/>
        <v>81225</v>
      </c>
      <c r="O64" s="158">
        <f t="shared" si="41"/>
        <v>3310275</v>
      </c>
      <c r="P64" s="156">
        <v>45656</v>
      </c>
      <c r="Q64" s="160" t="s">
        <v>354</v>
      </c>
      <c r="R64" s="159">
        <v>3310275</v>
      </c>
      <c r="S64" s="158">
        <f t="shared" si="42"/>
        <v>0</v>
      </c>
      <c r="T64" s="155" t="s">
        <v>112</v>
      </c>
    </row>
    <row r="65" spans="1:20" ht="15">
      <c r="A65" s="189"/>
      <c r="B65" s="161"/>
      <c r="C65" s="161"/>
      <c r="D65" s="161"/>
      <c r="E65" s="162"/>
      <c r="F65" s="190"/>
      <c r="G65" s="191">
        <f>SUM(G55:G64)</f>
        <v>14913334</v>
      </c>
      <c r="H65" s="179">
        <f>SUM(H55:H64)</f>
        <v>2833533</v>
      </c>
      <c r="I65" s="179">
        <f>SUM(I55:I64)</f>
        <v>17746867</v>
      </c>
      <c r="J65" s="179">
        <f t="shared" ref="H65:T65" si="43">SUM(J55:J55)</f>
        <v>0</v>
      </c>
      <c r="K65" s="179">
        <f t="shared" si="43"/>
        <v>0</v>
      </c>
      <c r="L65" s="179">
        <f>SUM(L55:L64)</f>
        <v>425029.95</v>
      </c>
      <c r="M65" s="179">
        <f t="shared" si="43"/>
        <v>0</v>
      </c>
      <c r="N65" s="179">
        <f>SUM(N55:N64)</f>
        <v>485651.95</v>
      </c>
      <c r="O65" s="179">
        <f>SUM(O55:O64)</f>
        <v>17261215.050000001</v>
      </c>
      <c r="P65" s="179">
        <f t="shared" si="43"/>
        <v>0</v>
      </c>
      <c r="Q65" s="179">
        <f t="shared" si="43"/>
        <v>0</v>
      </c>
      <c r="R65" s="179">
        <f>SUM(R55:R64)</f>
        <v>16494625</v>
      </c>
      <c r="S65" s="179">
        <f>SUM(S55:S64)</f>
        <v>766590.05</v>
      </c>
      <c r="T65" s="179">
        <f t="shared" si="43"/>
        <v>0</v>
      </c>
    </row>
    <row r="66" spans="1:20" ht="15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</row>
    <row r="67" spans="1:20" ht="15">
      <c r="A67" s="169" t="s">
        <v>236</v>
      </c>
      <c r="B67" s="192" t="s">
        <v>395</v>
      </c>
      <c r="C67" s="185"/>
      <c r="D67" s="185" t="s">
        <v>396</v>
      </c>
      <c r="E67" s="193">
        <v>45575</v>
      </c>
      <c r="F67" s="194"/>
      <c r="G67" s="157"/>
      <c r="H67" s="158"/>
      <c r="I67" s="158"/>
      <c r="J67" s="158">
        <v>0</v>
      </c>
      <c r="K67" s="158">
        <v>0</v>
      </c>
      <c r="L67" s="158">
        <f t="shared" ref="L67:L68" si="44">H67*0.15</f>
        <v>0</v>
      </c>
      <c r="M67" s="159">
        <v>0</v>
      </c>
      <c r="N67" s="158">
        <f t="shared" ref="N67:N68" si="45">SUM(J67:M67)</f>
        <v>0</v>
      </c>
      <c r="O67" s="158">
        <f t="shared" ref="O67:O68" si="46">+I67-N67</f>
        <v>0</v>
      </c>
      <c r="P67" s="156"/>
      <c r="Q67" s="160"/>
      <c r="R67" s="159"/>
      <c r="S67" s="158">
        <f t="shared" ref="S67:S68" si="47">+O67-R67</f>
        <v>0</v>
      </c>
      <c r="T67" s="155" t="s">
        <v>349</v>
      </c>
    </row>
    <row r="68" spans="1:20" ht="15">
      <c r="A68" s="195"/>
      <c r="B68" s="185" t="s">
        <v>397</v>
      </c>
      <c r="C68" s="185" t="s">
        <v>21</v>
      </c>
      <c r="D68" s="185" t="s">
        <v>47</v>
      </c>
      <c r="E68" s="193">
        <v>45575</v>
      </c>
      <c r="F68" s="196" t="s">
        <v>398</v>
      </c>
      <c r="G68" s="186">
        <v>140000</v>
      </c>
      <c r="H68" s="158">
        <v>26600</v>
      </c>
      <c r="I68" s="158">
        <v>166600</v>
      </c>
      <c r="J68" s="158">
        <v>0</v>
      </c>
      <c r="K68" s="158">
        <v>0</v>
      </c>
      <c r="L68" s="158">
        <f t="shared" si="44"/>
        <v>3990</v>
      </c>
      <c r="M68" s="159">
        <v>0</v>
      </c>
      <c r="N68" s="158">
        <f t="shared" si="45"/>
        <v>3990</v>
      </c>
      <c r="O68" s="158">
        <f t="shared" si="46"/>
        <v>162610</v>
      </c>
      <c r="P68" s="156"/>
      <c r="Q68" s="160"/>
      <c r="R68" s="159"/>
      <c r="S68" s="158">
        <f t="shared" si="47"/>
        <v>162610</v>
      </c>
      <c r="T68" s="155" t="s">
        <v>349</v>
      </c>
    </row>
    <row r="69" spans="1:20" ht="15">
      <c r="A69" s="169"/>
      <c r="B69" s="197"/>
      <c r="C69" s="198"/>
      <c r="D69" s="199"/>
      <c r="E69" s="165"/>
      <c r="F69" s="200"/>
      <c r="G69" s="179">
        <f>SUM(G67:G68)</f>
        <v>140000</v>
      </c>
      <c r="H69" s="179">
        <f ca="1">SUM(H67:H69)</f>
        <v>0</v>
      </c>
      <c r="I69" s="179">
        <f>SUM(I67:I68)</f>
        <v>166600</v>
      </c>
      <c r="J69" s="179">
        <f t="shared" ref="H69:T69" si="48">SUM(J67:J67)</f>
        <v>0</v>
      </c>
      <c r="K69" s="179">
        <f t="shared" si="48"/>
        <v>0</v>
      </c>
      <c r="L69" s="179">
        <f>SUM(L67:L68)</f>
        <v>3990</v>
      </c>
      <c r="M69" s="179">
        <f t="shared" si="48"/>
        <v>0</v>
      </c>
      <c r="N69" s="179">
        <f>SUM(N67:N68)</f>
        <v>3990</v>
      </c>
      <c r="O69" s="179">
        <f>SUM(O67:O68)</f>
        <v>162610</v>
      </c>
      <c r="P69" s="179">
        <f t="shared" si="48"/>
        <v>0</v>
      </c>
      <c r="Q69" s="179">
        <f t="shared" si="48"/>
        <v>0</v>
      </c>
      <c r="R69" s="179">
        <f t="shared" si="48"/>
        <v>0</v>
      </c>
      <c r="S69" s="179">
        <f t="shared" si="48"/>
        <v>0</v>
      </c>
      <c r="T69" s="179">
        <f t="shared" si="48"/>
        <v>0</v>
      </c>
    </row>
    <row r="70" spans="1:20" ht="15">
      <c r="A70" s="167"/>
      <c r="B70" s="167"/>
      <c r="C70" s="167"/>
      <c r="D70" s="194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</row>
    <row r="71" spans="1:20" ht="15">
      <c r="A71" s="169" t="s">
        <v>252</v>
      </c>
      <c r="B71" s="155" t="s">
        <v>399</v>
      </c>
      <c r="C71" s="185" t="s">
        <v>21</v>
      </c>
      <c r="D71" s="185" t="s">
        <v>47</v>
      </c>
      <c r="E71" s="184">
        <v>45620</v>
      </c>
      <c r="F71" s="185" t="s">
        <v>400</v>
      </c>
      <c r="G71" s="186">
        <v>250000</v>
      </c>
      <c r="H71" s="158">
        <v>47500</v>
      </c>
      <c r="I71" s="158">
        <v>297500</v>
      </c>
      <c r="J71" s="158">
        <v>0</v>
      </c>
      <c r="K71" s="158">
        <v>0</v>
      </c>
      <c r="L71" s="158">
        <f t="shared" ref="L71" si="49">H71*0.15</f>
        <v>7125</v>
      </c>
      <c r="M71" s="159">
        <v>0</v>
      </c>
      <c r="N71" s="158">
        <f t="shared" ref="N71" si="50">SUM(J71:M71)</f>
        <v>7125</v>
      </c>
      <c r="O71" s="158">
        <f t="shared" ref="O71" si="51">+I71-N71</f>
        <v>290375</v>
      </c>
      <c r="P71" s="156"/>
      <c r="Q71" s="160"/>
      <c r="R71" s="159"/>
      <c r="S71" s="158">
        <f t="shared" ref="S71" si="52">+O71-R71</f>
        <v>290375</v>
      </c>
      <c r="T71" s="155" t="s">
        <v>349</v>
      </c>
    </row>
    <row r="72" spans="1:20" ht="15">
      <c r="A72" s="169"/>
      <c r="B72" s="161"/>
      <c r="C72" s="161"/>
      <c r="D72" s="161"/>
      <c r="E72" s="161"/>
      <c r="F72" s="201"/>
      <c r="G72" s="179">
        <f>SUM(G71)</f>
        <v>250000</v>
      </c>
      <c r="H72" s="179">
        <f>SUM(H71:H71)</f>
        <v>47500</v>
      </c>
      <c r="I72" s="179">
        <f>SUM(I71:I71)</f>
        <v>297500</v>
      </c>
      <c r="J72" s="179">
        <f t="shared" ref="H72:T72" si="53">SUM(J71:J71)</f>
        <v>0</v>
      </c>
      <c r="K72" s="179">
        <f t="shared" si="53"/>
        <v>0</v>
      </c>
      <c r="L72" s="179">
        <f t="shared" si="53"/>
        <v>7125</v>
      </c>
      <c r="M72" s="179">
        <f t="shared" si="53"/>
        <v>0</v>
      </c>
      <c r="N72" s="179">
        <f t="shared" si="53"/>
        <v>7125</v>
      </c>
      <c r="O72" s="179">
        <f t="shared" si="53"/>
        <v>290375</v>
      </c>
      <c r="P72" s="179">
        <f t="shared" si="53"/>
        <v>0</v>
      </c>
      <c r="Q72" s="179">
        <f t="shared" si="53"/>
        <v>0</v>
      </c>
      <c r="R72" s="179">
        <f t="shared" si="53"/>
        <v>0</v>
      </c>
      <c r="S72" s="179">
        <f t="shared" si="53"/>
        <v>290375</v>
      </c>
      <c r="T72" s="179">
        <f t="shared" si="53"/>
        <v>0</v>
      </c>
    </row>
    <row r="73" spans="1:20" ht="15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</row>
    <row r="74" spans="1:20" ht="15">
      <c r="A74" s="169" t="s">
        <v>273</v>
      </c>
      <c r="B74" s="155" t="s">
        <v>401</v>
      </c>
      <c r="C74" s="185" t="s">
        <v>21</v>
      </c>
      <c r="D74" s="185" t="s">
        <v>47</v>
      </c>
      <c r="E74" s="184">
        <v>45632</v>
      </c>
      <c r="F74" s="185" t="s">
        <v>402</v>
      </c>
      <c r="G74" s="186">
        <v>3420000</v>
      </c>
      <c r="H74" s="158">
        <v>649800</v>
      </c>
      <c r="I74" s="158">
        <v>4069800</v>
      </c>
      <c r="J74" s="158">
        <v>0</v>
      </c>
      <c r="K74" s="158">
        <v>0</v>
      </c>
      <c r="L74" s="158">
        <f t="shared" ref="L74:L101" si="54">H74*0.15</f>
        <v>97470</v>
      </c>
      <c r="M74" s="159">
        <v>0</v>
      </c>
      <c r="N74" s="158">
        <f t="shared" ref="N74:N101" si="55">SUM(J74:M74)</f>
        <v>97470</v>
      </c>
      <c r="O74" s="158">
        <f t="shared" ref="O74:O101" si="56">+I74-N74</f>
        <v>3972330</v>
      </c>
      <c r="P74" s="156"/>
      <c r="Q74" s="160"/>
      <c r="R74" s="159"/>
      <c r="S74" s="158">
        <f t="shared" ref="S74:S101" si="57">+O74-R74</f>
        <v>3972330</v>
      </c>
      <c r="T74" s="155" t="s">
        <v>349</v>
      </c>
    </row>
    <row r="75" spans="1:20" ht="15">
      <c r="A75" s="169"/>
      <c r="B75" s="155" t="s">
        <v>403</v>
      </c>
      <c r="C75" s="185" t="s">
        <v>21</v>
      </c>
      <c r="D75" s="185" t="s">
        <v>47</v>
      </c>
      <c r="E75" s="184">
        <v>45632</v>
      </c>
      <c r="F75" s="185" t="s">
        <v>404</v>
      </c>
      <c r="G75" s="186">
        <v>480000</v>
      </c>
      <c r="H75" s="158">
        <v>91200</v>
      </c>
      <c r="I75" s="158">
        <v>571200</v>
      </c>
      <c r="J75" s="158">
        <v>0</v>
      </c>
      <c r="K75" s="158">
        <v>0</v>
      </c>
      <c r="L75" s="158">
        <f t="shared" si="54"/>
        <v>13680</v>
      </c>
      <c r="M75" s="159">
        <v>0</v>
      </c>
      <c r="N75" s="158">
        <f t="shared" si="55"/>
        <v>13680</v>
      </c>
      <c r="O75" s="158">
        <f t="shared" si="56"/>
        <v>557520</v>
      </c>
      <c r="P75" s="156"/>
      <c r="Q75" s="160"/>
      <c r="R75" s="159"/>
      <c r="S75" s="158">
        <f t="shared" si="57"/>
        <v>557520</v>
      </c>
      <c r="T75" s="155" t="s">
        <v>349</v>
      </c>
    </row>
    <row r="76" spans="1:20" ht="15">
      <c r="A76" s="169"/>
      <c r="B76" s="155" t="s">
        <v>405</v>
      </c>
      <c r="C76" s="185" t="s">
        <v>21</v>
      </c>
      <c r="D76" s="185" t="s">
        <v>47</v>
      </c>
      <c r="E76" s="184">
        <v>45632</v>
      </c>
      <c r="F76" s="185" t="s">
        <v>404</v>
      </c>
      <c r="G76" s="186">
        <v>3990000</v>
      </c>
      <c r="H76" s="158">
        <v>758100</v>
      </c>
      <c r="I76" s="158">
        <v>4748100</v>
      </c>
      <c r="J76" s="158">
        <v>0</v>
      </c>
      <c r="K76" s="158">
        <v>0</v>
      </c>
      <c r="L76" s="158">
        <f t="shared" si="54"/>
        <v>113715</v>
      </c>
      <c r="M76" s="159">
        <v>0</v>
      </c>
      <c r="N76" s="158">
        <f t="shared" si="55"/>
        <v>113715</v>
      </c>
      <c r="O76" s="158">
        <f t="shared" si="56"/>
        <v>4634385</v>
      </c>
      <c r="P76" s="156"/>
      <c r="Q76" s="160"/>
      <c r="R76" s="159"/>
      <c r="S76" s="158">
        <f t="shared" si="57"/>
        <v>4634385</v>
      </c>
      <c r="T76" s="155" t="s">
        <v>349</v>
      </c>
    </row>
    <row r="77" spans="1:20" ht="15">
      <c r="A77" s="169"/>
      <c r="B77" s="155" t="s">
        <v>406</v>
      </c>
      <c r="C77" s="185" t="s">
        <v>21</v>
      </c>
      <c r="D77" s="185" t="s">
        <v>47</v>
      </c>
      <c r="E77" s="184">
        <v>45632</v>
      </c>
      <c r="F77" s="185" t="s">
        <v>407</v>
      </c>
      <c r="G77" s="186">
        <v>2500000</v>
      </c>
      <c r="H77" s="158">
        <v>475000</v>
      </c>
      <c r="I77" s="158">
        <v>2975000</v>
      </c>
      <c r="J77" s="158">
        <v>0</v>
      </c>
      <c r="K77" s="158">
        <v>0</v>
      </c>
      <c r="L77" s="158">
        <f t="shared" si="54"/>
        <v>71250</v>
      </c>
      <c r="M77" s="159">
        <v>0</v>
      </c>
      <c r="N77" s="158">
        <f t="shared" si="55"/>
        <v>71250</v>
      </c>
      <c r="O77" s="158">
        <f t="shared" si="56"/>
        <v>2903750</v>
      </c>
      <c r="P77" s="156"/>
      <c r="Q77" s="160"/>
      <c r="R77" s="159"/>
      <c r="S77" s="158">
        <f t="shared" si="57"/>
        <v>2903750</v>
      </c>
      <c r="T77" s="155" t="s">
        <v>349</v>
      </c>
    </row>
    <row r="78" spans="1:20" ht="15">
      <c r="A78" s="169"/>
      <c r="B78" s="155" t="s">
        <v>408</v>
      </c>
      <c r="C78" s="185" t="s">
        <v>21</v>
      </c>
      <c r="D78" s="185" t="s">
        <v>47</v>
      </c>
      <c r="E78" s="184">
        <v>45632</v>
      </c>
      <c r="F78" s="185" t="s">
        <v>407</v>
      </c>
      <c r="G78" s="186">
        <v>2500000</v>
      </c>
      <c r="H78" s="158">
        <v>475000</v>
      </c>
      <c r="I78" s="158">
        <v>2975000</v>
      </c>
      <c r="J78" s="158">
        <v>0</v>
      </c>
      <c r="K78" s="158">
        <v>0</v>
      </c>
      <c r="L78" s="158">
        <f t="shared" si="54"/>
        <v>71250</v>
      </c>
      <c r="M78" s="159">
        <v>0</v>
      </c>
      <c r="N78" s="158">
        <f t="shared" si="55"/>
        <v>71250</v>
      </c>
      <c r="O78" s="158">
        <f t="shared" si="56"/>
        <v>2903750</v>
      </c>
      <c r="P78" s="156"/>
      <c r="Q78" s="160"/>
      <c r="R78" s="159"/>
      <c r="S78" s="158">
        <f t="shared" si="57"/>
        <v>2903750</v>
      </c>
      <c r="T78" s="155" t="s">
        <v>349</v>
      </c>
    </row>
    <row r="79" spans="1:20" ht="15">
      <c r="A79" s="169"/>
      <c r="B79" s="155" t="s">
        <v>409</v>
      </c>
      <c r="C79" s="185" t="s">
        <v>21</v>
      </c>
      <c r="D79" s="185" t="s">
        <v>47</v>
      </c>
      <c r="E79" s="184">
        <v>45632</v>
      </c>
      <c r="F79" s="185" t="s">
        <v>410</v>
      </c>
      <c r="G79" s="186">
        <v>5100000</v>
      </c>
      <c r="H79" s="158">
        <v>969000</v>
      </c>
      <c r="I79" s="158">
        <v>6069000</v>
      </c>
      <c r="J79" s="158">
        <v>0</v>
      </c>
      <c r="K79" s="158">
        <v>0</v>
      </c>
      <c r="L79" s="158">
        <f t="shared" si="54"/>
        <v>145350</v>
      </c>
      <c r="M79" s="159">
        <v>0</v>
      </c>
      <c r="N79" s="158">
        <f t="shared" si="55"/>
        <v>145350</v>
      </c>
      <c r="O79" s="158">
        <f t="shared" si="56"/>
        <v>5923650</v>
      </c>
      <c r="P79" s="156"/>
      <c r="Q79" s="160"/>
      <c r="R79" s="159"/>
      <c r="S79" s="158">
        <f t="shared" si="57"/>
        <v>5923650</v>
      </c>
      <c r="T79" s="155" t="s">
        <v>349</v>
      </c>
    </row>
    <row r="80" spans="1:20" ht="15">
      <c r="A80" s="169"/>
      <c r="B80" s="155" t="s">
        <v>411</v>
      </c>
      <c r="C80" s="185" t="s">
        <v>21</v>
      </c>
      <c r="D80" s="185" t="s">
        <v>47</v>
      </c>
      <c r="E80" s="184">
        <v>45632</v>
      </c>
      <c r="F80" s="185" t="s">
        <v>410</v>
      </c>
      <c r="G80" s="186">
        <v>5100000</v>
      </c>
      <c r="H80" s="158">
        <v>969000</v>
      </c>
      <c r="I80" s="158">
        <v>6069000</v>
      </c>
      <c r="J80" s="158">
        <v>0</v>
      </c>
      <c r="K80" s="158">
        <v>0</v>
      </c>
      <c r="L80" s="158">
        <f t="shared" si="54"/>
        <v>145350</v>
      </c>
      <c r="M80" s="159">
        <v>0</v>
      </c>
      <c r="N80" s="158">
        <f t="shared" si="55"/>
        <v>145350</v>
      </c>
      <c r="O80" s="158">
        <f t="shared" si="56"/>
        <v>5923650</v>
      </c>
      <c r="P80" s="156"/>
      <c r="Q80" s="160"/>
      <c r="R80" s="159"/>
      <c r="S80" s="158">
        <f t="shared" si="57"/>
        <v>5923650</v>
      </c>
      <c r="T80" s="155" t="s">
        <v>349</v>
      </c>
    </row>
    <row r="81" spans="1:20" ht="15">
      <c r="A81" s="169"/>
      <c r="B81" s="155" t="s">
        <v>412</v>
      </c>
      <c r="C81" s="185" t="s">
        <v>21</v>
      </c>
      <c r="D81" s="185" t="s">
        <v>47</v>
      </c>
      <c r="E81" s="184">
        <v>45632</v>
      </c>
      <c r="F81" s="185" t="s">
        <v>410</v>
      </c>
      <c r="G81" s="186">
        <v>2550000</v>
      </c>
      <c r="H81" s="158">
        <v>484500</v>
      </c>
      <c r="I81" s="158">
        <v>3034500</v>
      </c>
      <c r="J81" s="158">
        <v>0</v>
      </c>
      <c r="K81" s="158">
        <v>0</v>
      </c>
      <c r="L81" s="158">
        <f t="shared" si="54"/>
        <v>72675</v>
      </c>
      <c r="M81" s="159">
        <v>0</v>
      </c>
      <c r="N81" s="158">
        <f t="shared" si="55"/>
        <v>72675</v>
      </c>
      <c r="O81" s="158">
        <f t="shared" si="56"/>
        <v>2961825</v>
      </c>
      <c r="P81" s="156"/>
      <c r="Q81" s="160"/>
      <c r="R81" s="159"/>
      <c r="S81" s="158">
        <f t="shared" si="57"/>
        <v>2961825</v>
      </c>
      <c r="T81" s="155" t="s">
        <v>349</v>
      </c>
    </row>
    <row r="82" spans="1:20" ht="15">
      <c r="A82" s="169"/>
      <c r="B82" s="155" t="s">
        <v>413</v>
      </c>
      <c r="C82" s="185" t="s">
        <v>21</v>
      </c>
      <c r="D82" s="185" t="s">
        <v>47</v>
      </c>
      <c r="E82" s="184">
        <v>45632</v>
      </c>
      <c r="F82" s="185" t="s">
        <v>414</v>
      </c>
      <c r="G82" s="186">
        <v>600</v>
      </c>
      <c r="H82" s="158">
        <v>114</v>
      </c>
      <c r="I82" s="158">
        <v>714</v>
      </c>
      <c r="J82" s="158">
        <v>0</v>
      </c>
      <c r="K82" s="158">
        <v>0</v>
      </c>
      <c r="L82" s="158">
        <f t="shared" si="54"/>
        <v>17.099999999999998</v>
      </c>
      <c r="M82" s="159">
        <v>0</v>
      </c>
      <c r="N82" s="158">
        <f t="shared" si="55"/>
        <v>17.099999999999998</v>
      </c>
      <c r="O82" s="158">
        <f t="shared" si="56"/>
        <v>696.9</v>
      </c>
      <c r="P82" s="156"/>
      <c r="Q82" s="160"/>
      <c r="R82" s="159"/>
      <c r="S82" s="158">
        <f t="shared" si="57"/>
        <v>696.9</v>
      </c>
      <c r="T82" s="155" t="s">
        <v>349</v>
      </c>
    </row>
    <row r="83" spans="1:20" ht="15">
      <c r="A83" s="169"/>
      <c r="B83" s="155" t="s">
        <v>415</v>
      </c>
      <c r="C83" s="185" t="s">
        <v>21</v>
      </c>
      <c r="D83" s="185" t="s">
        <v>47</v>
      </c>
      <c r="E83" s="184">
        <v>45632</v>
      </c>
      <c r="F83" s="185" t="s">
        <v>416</v>
      </c>
      <c r="G83" s="186">
        <v>580000</v>
      </c>
      <c r="H83" s="158">
        <v>110200</v>
      </c>
      <c r="I83" s="158">
        <v>690200</v>
      </c>
      <c r="J83" s="158">
        <v>0</v>
      </c>
      <c r="K83" s="158">
        <v>0</v>
      </c>
      <c r="L83" s="158">
        <f t="shared" si="54"/>
        <v>16530</v>
      </c>
      <c r="M83" s="159">
        <v>0</v>
      </c>
      <c r="N83" s="158">
        <f t="shared" si="55"/>
        <v>16530</v>
      </c>
      <c r="O83" s="158">
        <f t="shared" si="56"/>
        <v>673670</v>
      </c>
      <c r="P83" s="156"/>
      <c r="Q83" s="160"/>
      <c r="R83" s="159"/>
      <c r="S83" s="158">
        <f t="shared" si="57"/>
        <v>673670</v>
      </c>
      <c r="T83" s="155" t="s">
        <v>349</v>
      </c>
    </row>
    <row r="84" spans="1:20" ht="15">
      <c r="A84" s="169"/>
      <c r="B84" s="155" t="s">
        <v>417</v>
      </c>
      <c r="C84" s="185" t="s">
        <v>21</v>
      </c>
      <c r="D84" s="185" t="s">
        <v>47</v>
      </c>
      <c r="E84" s="184">
        <v>45632</v>
      </c>
      <c r="F84" s="185" t="s">
        <v>370</v>
      </c>
      <c r="G84" s="186">
        <v>500000</v>
      </c>
      <c r="H84" s="158">
        <v>95000</v>
      </c>
      <c r="I84" s="158">
        <v>595000</v>
      </c>
      <c r="J84" s="158">
        <v>0</v>
      </c>
      <c r="K84" s="158">
        <v>0</v>
      </c>
      <c r="L84" s="158">
        <f t="shared" si="54"/>
        <v>14250</v>
      </c>
      <c r="M84" s="159">
        <v>0</v>
      </c>
      <c r="N84" s="158">
        <f t="shared" si="55"/>
        <v>14250</v>
      </c>
      <c r="O84" s="158">
        <f t="shared" si="56"/>
        <v>580750</v>
      </c>
      <c r="P84" s="156"/>
      <c r="Q84" s="160"/>
      <c r="R84" s="159"/>
      <c r="S84" s="158">
        <f t="shared" si="57"/>
        <v>580750</v>
      </c>
      <c r="T84" s="155" t="s">
        <v>349</v>
      </c>
    </row>
    <row r="85" spans="1:20" ht="15">
      <c r="A85" s="169"/>
      <c r="B85" s="155" t="s">
        <v>418</v>
      </c>
      <c r="C85" s="185" t="s">
        <v>21</v>
      </c>
      <c r="D85" s="185" t="s">
        <v>47</v>
      </c>
      <c r="E85" s="184">
        <v>45632</v>
      </c>
      <c r="F85" s="185" t="s">
        <v>370</v>
      </c>
      <c r="G85" s="186">
        <v>250000</v>
      </c>
      <c r="H85" s="158">
        <v>47500</v>
      </c>
      <c r="I85" s="158">
        <v>297500</v>
      </c>
      <c r="J85" s="158">
        <v>0</v>
      </c>
      <c r="K85" s="158">
        <v>0</v>
      </c>
      <c r="L85" s="158">
        <f t="shared" si="54"/>
        <v>7125</v>
      </c>
      <c r="M85" s="159">
        <v>0</v>
      </c>
      <c r="N85" s="158">
        <f t="shared" si="55"/>
        <v>7125</v>
      </c>
      <c r="O85" s="158">
        <f t="shared" si="56"/>
        <v>290375</v>
      </c>
      <c r="P85" s="156"/>
      <c r="Q85" s="160"/>
      <c r="R85" s="159"/>
      <c r="S85" s="158">
        <f t="shared" si="57"/>
        <v>290375</v>
      </c>
      <c r="T85" s="155" t="s">
        <v>349</v>
      </c>
    </row>
    <row r="86" spans="1:20" ht="15">
      <c r="A86" s="169"/>
      <c r="B86" s="155" t="s">
        <v>419</v>
      </c>
      <c r="C86" s="185" t="s">
        <v>21</v>
      </c>
      <c r="D86" s="185" t="s">
        <v>47</v>
      </c>
      <c r="E86" s="184">
        <v>45633</v>
      </c>
      <c r="F86" s="185" t="s">
        <v>420</v>
      </c>
      <c r="G86" s="186">
        <v>3850000</v>
      </c>
      <c r="H86" s="158">
        <v>731500</v>
      </c>
      <c r="I86" s="158">
        <v>4581500</v>
      </c>
      <c r="J86" s="158">
        <v>0</v>
      </c>
      <c r="K86" s="158">
        <v>0</v>
      </c>
      <c r="L86" s="158">
        <f t="shared" si="54"/>
        <v>109725</v>
      </c>
      <c r="M86" s="159">
        <v>0</v>
      </c>
      <c r="N86" s="158">
        <f t="shared" si="55"/>
        <v>109725</v>
      </c>
      <c r="O86" s="158">
        <f t="shared" si="56"/>
        <v>4471775</v>
      </c>
      <c r="P86" s="156"/>
      <c r="Q86" s="160"/>
      <c r="R86" s="159"/>
      <c r="S86" s="158">
        <f t="shared" si="57"/>
        <v>4471775</v>
      </c>
      <c r="T86" s="155" t="s">
        <v>349</v>
      </c>
    </row>
    <row r="87" spans="1:20" ht="15">
      <c r="A87" s="169"/>
      <c r="B87" s="155" t="s">
        <v>421</v>
      </c>
      <c r="C87" s="185" t="s">
        <v>21</v>
      </c>
      <c r="D87" s="185" t="s">
        <v>47</v>
      </c>
      <c r="E87" s="184">
        <v>45633</v>
      </c>
      <c r="F87" s="185" t="s">
        <v>422</v>
      </c>
      <c r="G87" s="186">
        <v>560000</v>
      </c>
      <c r="H87" s="158">
        <v>106400</v>
      </c>
      <c r="I87" s="158">
        <v>666400</v>
      </c>
      <c r="J87" s="158">
        <v>0</v>
      </c>
      <c r="K87" s="158">
        <v>0</v>
      </c>
      <c r="L87" s="158">
        <f t="shared" si="54"/>
        <v>15960</v>
      </c>
      <c r="M87" s="159">
        <v>0</v>
      </c>
      <c r="N87" s="158">
        <f t="shared" si="55"/>
        <v>15960</v>
      </c>
      <c r="O87" s="158">
        <f t="shared" si="56"/>
        <v>650440</v>
      </c>
      <c r="P87" s="156"/>
      <c r="Q87" s="160"/>
      <c r="R87" s="159"/>
      <c r="S87" s="158">
        <f t="shared" si="57"/>
        <v>650440</v>
      </c>
      <c r="T87" s="155" t="s">
        <v>349</v>
      </c>
    </row>
    <row r="88" spans="1:20" ht="15">
      <c r="A88" s="169"/>
      <c r="B88" s="155" t="s">
        <v>423</v>
      </c>
      <c r="C88" s="185" t="s">
        <v>21</v>
      </c>
      <c r="D88" s="185" t="s">
        <v>47</v>
      </c>
      <c r="E88" s="184">
        <v>45635</v>
      </c>
      <c r="F88" s="188" t="s">
        <v>398</v>
      </c>
      <c r="G88" s="186">
        <v>140000</v>
      </c>
      <c r="H88" s="158">
        <v>26600</v>
      </c>
      <c r="I88" s="158">
        <v>166600</v>
      </c>
      <c r="J88" s="158">
        <v>0</v>
      </c>
      <c r="K88" s="158">
        <v>0</v>
      </c>
      <c r="L88" s="158">
        <f t="shared" si="54"/>
        <v>3990</v>
      </c>
      <c r="M88" s="159">
        <v>0</v>
      </c>
      <c r="N88" s="158">
        <f t="shared" si="55"/>
        <v>3990</v>
      </c>
      <c r="O88" s="158">
        <f t="shared" si="56"/>
        <v>162610</v>
      </c>
      <c r="P88" s="156"/>
      <c r="Q88" s="160"/>
      <c r="R88" s="159"/>
      <c r="S88" s="158">
        <f t="shared" si="57"/>
        <v>162610</v>
      </c>
      <c r="T88" s="155" t="s">
        <v>349</v>
      </c>
    </row>
    <row r="89" spans="1:20" ht="15">
      <c r="A89" s="169"/>
      <c r="B89" s="155" t="s">
        <v>424</v>
      </c>
      <c r="C89" s="185" t="s">
        <v>21</v>
      </c>
      <c r="D89" s="185" t="s">
        <v>47</v>
      </c>
      <c r="E89" s="184">
        <v>45644</v>
      </c>
      <c r="F89" s="129" t="s">
        <v>414</v>
      </c>
      <c r="G89" s="186">
        <v>600000</v>
      </c>
      <c r="H89" s="158">
        <v>114000</v>
      </c>
      <c r="I89" s="158">
        <v>714000</v>
      </c>
      <c r="J89" s="158">
        <v>0</v>
      </c>
      <c r="K89" s="158">
        <v>0</v>
      </c>
      <c r="L89" s="158">
        <f t="shared" si="54"/>
        <v>17100</v>
      </c>
      <c r="M89" s="159">
        <v>0</v>
      </c>
      <c r="N89" s="158">
        <f t="shared" si="55"/>
        <v>17100</v>
      </c>
      <c r="O89" s="158">
        <f t="shared" si="56"/>
        <v>696900</v>
      </c>
      <c r="P89" s="156"/>
      <c r="Q89" s="160"/>
      <c r="R89" s="159"/>
      <c r="S89" s="158">
        <f t="shared" si="57"/>
        <v>696900</v>
      </c>
      <c r="T89" s="155" t="s">
        <v>349</v>
      </c>
    </row>
    <row r="90" spans="1:20" ht="15">
      <c r="A90" s="169"/>
      <c r="B90" s="155" t="s">
        <v>425</v>
      </c>
      <c r="C90" s="185" t="s">
        <v>21</v>
      </c>
      <c r="D90" s="185" t="s">
        <v>47</v>
      </c>
      <c r="E90" s="184">
        <v>45645</v>
      </c>
      <c r="F90" s="129" t="s">
        <v>426</v>
      </c>
      <c r="G90" s="186">
        <v>430000</v>
      </c>
      <c r="H90" s="158">
        <v>81700</v>
      </c>
      <c r="I90" s="158">
        <v>511700</v>
      </c>
      <c r="J90" s="158">
        <v>0</v>
      </c>
      <c r="K90" s="158">
        <v>0</v>
      </c>
      <c r="L90" s="158">
        <f t="shared" si="54"/>
        <v>12255</v>
      </c>
      <c r="M90" s="159">
        <v>0</v>
      </c>
      <c r="N90" s="158">
        <f t="shared" si="55"/>
        <v>12255</v>
      </c>
      <c r="O90" s="158">
        <f t="shared" si="56"/>
        <v>499445</v>
      </c>
      <c r="P90" s="156"/>
      <c r="Q90" s="160"/>
      <c r="R90" s="159"/>
      <c r="S90" s="158">
        <f t="shared" si="57"/>
        <v>499445</v>
      </c>
      <c r="T90" s="155" t="s">
        <v>349</v>
      </c>
    </row>
    <row r="91" spans="1:20" ht="15">
      <c r="A91" s="169"/>
      <c r="B91" s="155" t="s">
        <v>427</v>
      </c>
      <c r="C91" s="185" t="s">
        <v>21</v>
      </c>
      <c r="D91" s="185" t="s">
        <v>47</v>
      </c>
      <c r="E91" s="184">
        <v>45645</v>
      </c>
      <c r="F91" s="129" t="s">
        <v>428</v>
      </c>
      <c r="G91" s="186">
        <v>550000</v>
      </c>
      <c r="H91" s="158">
        <v>104500</v>
      </c>
      <c r="I91" s="158">
        <v>654500</v>
      </c>
      <c r="J91" s="158">
        <v>0</v>
      </c>
      <c r="K91" s="158">
        <v>0</v>
      </c>
      <c r="L91" s="158">
        <f t="shared" si="54"/>
        <v>15675</v>
      </c>
      <c r="M91" s="159">
        <v>0</v>
      </c>
      <c r="N91" s="158">
        <f t="shared" si="55"/>
        <v>15675</v>
      </c>
      <c r="O91" s="158">
        <f t="shared" si="56"/>
        <v>638825</v>
      </c>
      <c r="P91" s="156"/>
      <c r="Q91" s="160"/>
      <c r="R91" s="159"/>
      <c r="S91" s="158">
        <f t="shared" si="57"/>
        <v>638825</v>
      </c>
      <c r="T91" s="155" t="s">
        <v>349</v>
      </c>
    </row>
    <row r="92" spans="1:20" ht="15">
      <c r="A92" s="169"/>
      <c r="B92" s="155" t="s">
        <v>429</v>
      </c>
      <c r="C92" s="188" t="s">
        <v>21</v>
      </c>
      <c r="D92" s="188" t="s">
        <v>47</v>
      </c>
      <c r="E92" s="184">
        <v>45645</v>
      </c>
      <c r="F92" s="129" t="s">
        <v>430</v>
      </c>
      <c r="G92" s="186">
        <v>660000</v>
      </c>
      <c r="H92" s="158">
        <v>125400</v>
      </c>
      <c r="I92" s="158">
        <v>785400</v>
      </c>
      <c r="J92" s="158">
        <v>0</v>
      </c>
      <c r="K92" s="158">
        <v>0</v>
      </c>
      <c r="L92" s="158">
        <f t="shared" si="54"/>
        <v>18810</v>
      </c>
      <c r="M92" s="159">
        <v>0</v>
      </c>
      <c r="N92" s="158">
        <f t="shared" si="55"/>
        <v>18810</v>
      </c>
      <c r="O92" s="158">
        <f t="shared" si="56"/>
        <v>766590</v>
      </c>
      <c r="P92" s="156"/>
      <c r="Q92" s="160"/>
      <c r="R92" s="159"/>
      <c r="S92" s="158">
        <f t="shared" si="57"/>
        <v>766590</v>
      </c>
      <c r="T92" s="155" t="s">
        <v>349</v>
      </c>
    </row>
    <row r="93" spans="1:20" ht="15">
      <c r="A93" s="169"/>
      <c r="B93" s="202" t="s">
        <v>431</v>
      </c>
      <c r="C93" s="129" t="s">
        <v>173</v>
      </c>
      <c r="D93" s="130" t="s">
        <v>174</v>
      </c>
      <c r="E93" s="203">
        <v>45645</v>
      </c>
      <c r="F93" s="129" t="s">
        <v>372</v>
      </c>
      <c r="G93" s="186">
        <v>2000000</v>
      </c>
      <c r="H93" s="158">
        <v>380000</v>
      </c>
      <c r="I93" s="158">
        <v>2380000</v>
      </c>
      <c r="J93" s="158">
        <v>0</v>
      </c>
      <c r="K93" s="158">
        <v>0</v>
      </c>
      <c r="L93" s="158">
        <f t="shared" si="54"/>
        <v>57000</v>
      </c>
      <c r="M93" s="159">
        <v>0</v>
      </c>
      <c r="N93" s="158">
        <f t="shared" si="55"/>
        <v>57000</v>
      </c>
      <c r="O93" s="158">
        <f t="shared" si="56"/>
        <v>2323000</v>
      </c>
      <c r="P93" s="156"/>
      <c r="Q93" s="160"/>
      <c r="R93" s="159"/>
      <c r="S93" s="158">
        <f t="shared" si="57"/>
        <v>2323000</v>
      </c>
      <c r="T93" s="155" t="s">
        <v>349</v>
      </c>
    </row>
    <row r="94" spans="1:20" ht="15">
      <c r="A94" s="169"/>
      <c r="B94" s="202" t="s">
        <v>432</v>
      </c>
      <c r="C94" s="129" t="s">
        <v>21</v>
      </c>
      <c r="D94" s="130" t="s">
        <v>47</v>
      </c>
      <c r="E94" s="203">
        <v>45645</v>
      </c>
      <c r="F94" s="129" t="s">
        <v>433</v>
      </c>
      <c r="G94" s="186">
        <v>4400000</v>
      </c>
      <c r="H94" s="158">
        <v>836000</v>
      </c>
      <c r="I94" s="158">
        <v>5236000</v>
      </c>
      <c r="J94" s="158">
        <v>0</v>
      </c>
      <c r="K94" s="158">
        <v>0</v>
      </c>
      <c r="L94" s="158">
        <f t="shared" si="54"/>
        <v>125400</v>
      </c>
      <c r="M94" s="159">
        <v>0</v>
      </c>
      <c r="N94" s="158">
        <f t="shared" si="55"/>
        <v>125400</v>
      </c>
      <c r="O94" s="158">
        <f t="shared" si="56"/>
        <v>5110600</v>
      </c>
      <c r="P94" s="156"/>
      <c r="Q94" s="160"/>
      <c r="R94" s="159"/>
      <c r="S94" s="158">
        <f t="shared" si="57"/>
        <v>5110600</v>
      </c>
      <c r="T94" s="155" t="s">
        <v>349</v>
      </c>
    </row>
    <row r="95" spans="1:20" ht="15">
      <c r="A95" s="169"/>
      <c r="B95" s="202" t="s">
        <v>434</v>
      </c>
      <c r="C95" s="129" t="s">
        <v>21</v>
      </c>
      <c r="D95" s="130" t="s">
        <v>47</v>
      </c>
      <c r="E95" s="203">
        <v>45645</v>
      </c>
      <c r="F95" s="129" t="s">
        <v>420</v>
      </c>
      <c r="G95" s="186">
        <v>390000</v>
      </c>
      <c r="H95" s="158">
        <v>74100</v>
      </c>
      <c r="I95" s="158">
        <v>464100</v>
      </c>
      <c r="J95" s="158">
        <v>0</v>
      </c>
      <c r="K95" s="158">
        <v>0</v>
      </c>
      <c r="L95" s="158">
        <f t="shared" si="54"/>
        <v>11115</v>
      </c>
      <c r="M95" s="159">
        <v>0</v>
      </c>
      <c r="N95" s="158">
        <f t="shared" si="55"/>
        <v>11115</v>
      </c>
      <c r="O95" s="158">
        <f t="shared" si="56"/>
        <v>452985</v>
      </c>
      <c r="P95" s="156"/>
      <c r="Q95" s="160"/>
      <c r="R95" s="159"/>
      <c r="S95" s="158">
        <f t="shared" si="57"/>
        <v>452985</v>
      </c>
      <c r="T95" s="155" t="s">
        <v>349</v>
      </c>
    </row>
    <row r="96" spans="1:20" ht="15">
      <c r="A96" s="169"/>
      <c r="B96" s="202" t="s">
        <v>435</v>
      </c>
      <c r="C96" s="129" t="s">
        <v>21</v>
      </c>
      <c r="D96" s="130" t="s">
        <v>47</v>
      </c>
      <c r="E96" s="203">
        <v>45645</v>
      </c>
      <c r="F96" s="129" t="s">
        <v>428</v>
      </c>
      <c r="G96" s="186">
        <v>3960000</v>
      </c>
      <c r="H96" s="158">
        <v>752400</v>
      </c>
      <c r="I96" s="158">
        <v>4712400</v>
      </c>
      <c r="J96" s="158">
        <v>0</v>
      </c>
      <c r="K96" s="158">
        <v>0</v>
      </c>
      <c r="L96" s="158">
        <f t="shared" si="54"/>
        <v>112860</v>
      </c>
      <c r="M96" s="159">
        <v>0</v>
      </c>
      <c r="N96" s="158">
        <f t="shared" si="55"/>
        <v>112860</v>
      </c>
      <c r="O96" s="158">
        <f t="shared" si="56"/>
        <v>4599540</v>
      </c>
      <c r="P96" s="156"/>
      <c r="Q96" s="160"/>
      <c r="R96" s="159"/>
      <c r="S96" s="158">
        <f t="shared" si="57"/>
        <v>4599540</v>
      </c>
      <c r="T96" s="155" t="s">
        <v>349</v>
      </c>
    </row>
    <row r="97" spans="1:20" ht="15">
      <c r="A97" s="169"/>
      <c r="B97" s="202" t="s">
        <v>436</v>
      </c>
      <c r="C97" s="129" t="s">
        <v>21</v>
      </c>
      <c r="D97" s="130" t="s">
        <v>47</v>
      </c>
      <c r="E97" s="203">
        <v>45645</v>
      </c>
      <c r="F97" s="129" t="s">
        <v>428</v>
      </c>
      <c r="G97" s="186">
        <v>3960000</v>
      </c>
      <c r="H97" s="158">
        <v>752400</v>
      </c>
      <c r="I97" s="158">
        <v>4712400</v>
      </c>
      <c r="J97" s="158">
        <v>0</v>
      </c>
      <c r="K97" s="158">
        <v>0</v>
      </c>
      <c r="L97" s="158">
        <f t="shared" si="54"/>
        <v>112860</v>
      </c>
      <c r="M97" s="159">
        <v>0</v>
      </c>
      <c r="N97" s="158">
        <f t="shared" si="55"/>
        <v>112860</v>
      </c>
      <c r="O97" s="158">
        <f t="shared" si="56"/>
        <v>4599540</v>
      </c>
      <c r="P97" s="156"/>
      <c r="Q97" s="160"/>
      <c r="R97" s="159"/>
      <c r="S97" s="158">
        <f t="shared" si="57"/>
        <v>4599540</v>
      </c>
      <c r="T97" s="155" t="s">
        <v>349</v>
      </c>
    </row>
    <row r="98" spans="1:20" ht="15">
      <c r="A98" s="169"/>
      <c r="B98" s="202" t="s">
        <v>437</v>
      </c>
      <c r="C98" s="129" t="s">
        <v>21</v>
      </c>
      <c r="D98" s="130" t="s">
        <v>47</v>
      </c>
      <c r="E98" s="203">
        <v>45645</v>
      </c>
      <c r="F98" s="129" t="s">
        <v>438</v>
      </c>
      <c r="G98" s="186">
        <v>1430000</v>
      </c>
      <c r="H98" s="158">
        <v>271700</v>
      </c>
      <c r="I98" s="158">
        <v>1701700</v>
      </c>
      <c r="J98" s="158">
        <v>0</v>
      </c>
      <c r="K98" s="158">
        <v>0</v>
      </c>
      <c r="L98" s="158">
        <f t="shared" si="54"/>
        <v>40755</v>
      </c>
      <c r="M98" s="159">
        <v>0</v>
      </c>
      <c r="N98" s="158">
        <f t="shared" si="55"/>
        <v>40755</v>
      </c>
      <c r="O98" s="158">
        <f t="shared" si="56"/>
        <v>1660945</v>
      </c>
      <c r="P98" s="156"/>
      <c r="Q98" s="160"/>
      <c r="R98" s="159"/>
      <c r="S98" s="158">
        <f t="shared" si="57"/>
        <v>1660945</v>
      </c>
      <c r="T98" s="155" t="s">
        <v>349</v>
      </c>
    </row>
    <row r="99" spans="1:20" ht="15">
      <c r="A99" s="169"/>
      <c r="B99" s="202" t="s">
        <v>439</v>
      </c>
      <c r="C99" s="129" t="s">
        <v>21</v>
      </c>
      <c r="D99" s="130" t="s">
        <v>47</v>
      </c>
      <c r="E99" s="203">
        <v>45645</v>
      </c>
      <c r="F99" s="129" t="s">
        <v>440</v>
      </c>
      <c r="G99" s="186">
        <v>2100000</v>
      </c>
      <c r="H99" s="158">
        <v>399000</v>
      </c>
      <c r="I99" s="158">
        <v>2499000</v>
      </c>
      <c r="J99" s="158">
        <v>0</v>
      </c>
      <c r="K99" s="158">
        <v>0</v>
      </c>
      <c r="L99" s="158">
        <f t="shared" si="54"/>
        <v>59850</v>
      </c>
      <c r="M99" s="159">
        <v>0</v>
      </c>
      <c r="N99" s="158">
        <f t="shared" si="55"/>
        <v>59850</v>
      </c>
      <c r="O99" s="158">
        <f t="shared" si="56"/>
        <v>2439150</v>
      </c>
      <c r="P99" s="156"/>
      <c r="Q99" s="160"/>
      <c r="R99" s="159"/>
      <c r="S99" s="158">
        <f t="shared" si="57"/>
        <v>2439150</v>
      </c>
      <c r="T99" s="155" t="s">
        <v>349</v>
      </c>
    </row>
    <row r="100" spans="1:20" ht="15">
      <c r="A100" s="169"/>
      <c r="B100" s="202" t="s">
        <v>441</v>
      </c>
      <c r="C100" s="129" t="s">
        <v>21</v>
      </c>
      <c r="D100" s="130" t="s">
        <v>47</v>
      </c>
      <c r="E100" s="203">
        <v>45645</v>
      </c>
      <c r="F100" s="129" t="s">
        <v>442</v>
      </c>
      <c r="G100" s="186">
        <v>600000</v>
      </c>
      <c r="H100" s="158">
        <v>114000</v>
      </c>
      <c r="I100" s="158">
        <v>714000</v>
      </c>
      <c r="J100" s="158">
        <v>0</v>
      </c>
      <c r="K100" s="158">
        <v>0</v>
      </c>
      <c r="L100" s="158">
        <f t="shared" si="54"/>
        <v>17100</v>
      </c>
      <c r="M100" s="159">
        <v>0</v>
      </c>
      <c r="N100" s="158">
        <f t="shared" si="55"/>
        <v>17100</v>
      </c>
      <c r="O100" s="158">
        <f t="shared" si="56"/>
        <v>696900</v>
      </c>
      <c r="P100" s="156"/>
      <c r="Q100" s="160"/>
      <c r="R100" s="159"/>
      <c r="S100" s="158">
        <f t="shared" si="57"/>
        <v>696900</v>
      </c>
      <c r="T100" s="155" t="s">
        <v>349</v>
      </c>
    </row>
    <row r="101" spans="1:20" ht="15">
      <c r="A101" s="169"/>
      <c r="B101" s="202" t="s">
        <v>443</v>
      </c>
      <c r="C101" s="129" t="s">
        <v>21</v>
      </c>
      <c r="D101" s="130" t="s">
        <v>47</v>
      </c>
      <c r="E101" s="203">
        <v>45654</v>
      </c>
      <c r="F101" s="129" t="s">
        <v>444</v>
      </c>
      <c r="G101" s="186">
        <v>3500000</v>
      </c>
      <c r="H101" s="158">
        <v>665000</v>
      </c>
      <c r="I101" s="158">
        <v>4165000</v>
      </c>
      <c r="J101" s="158">
        <v>0</v>
      </c>
      <c r="K101" s="158">
        <v>0</v>
      </c>
      <c r="L101" s="158">
        <f t="shared" si="54"/>
        <v>99750</v>
      </c>
      <c r="M101" s="159">
        <v>0</v>
      </c>
      <c r="N101" s="158">
        <f t="shared" si="55"/>
        <v>99750</v>
      </c>
      <c r="O101" s="158">
        <f t="shared" si="56"/>
        <v>4065250</v>
      </c>
      <c r="P101" s="156"/>
      <c r="Q101" s="160"/>
      <c r="R101" s="159"/>
      <c r="S101" s="158">
        <f t="shared" si="57"/>
        <v>4065250</v>
      </c>
      <c r="T101" s="155" t="s">
        <v>349</v>
      </c>
    </row>
    <row r="102" spans="1:20" ht="15">
      <c r="A102" s="169"/>
      <c r="B102" s="161"/>
      <c r="C102" s="201"/>
      <c r="D102" s="201"/>
      <c r="E102" s="161"/>
      <c r="F102" s="201"/>
      <c r="G102" s="179">
        <f>SUM(G74:G88)</f>
        <v>31520600</v>
      </c>
      <c r="H102" s="179">
        <f>SUM(H74:H88)</f>
        <v>5988914</v>
      </c>
      <c r="I102" s="179">
        <f>SUM(I74:I88)</f>
        <v>37509514</v>
      </c>
      <c r="J102" s="179">
        <f t="shared" ref="H102:T102" si="58">SUM(J74:J74)</f>
        <v>0</v>
      </c>
      <c r="K102" s="179">
        <f t="shared" si="58"/>
        <v>0</v>
      </c>
      <c r="L102" s="179">
        <f>SUM(L74:L88)</f>
        <v>898337.1</v>
      </c>
      <c r="M102" s="179">
        <f t="shared" si="58"/>
        <v>0</v>
      </c>
      <c r="N102" s="179">
        <f>SUM(N74:N88)</f>
        <v>898337.1</v>
      </c>
      <c r="O102" s="179">
        <f>SUM(O74:O88)</f>
        <v>36611176.899999999</v>
      </c>
      <c r="P102" s="179">
        <f t="shared" si="58"/>
        <v>0</v>
      </c>
      <c r="Q102" s="179">
        <f t="shared" si="58"/>
        <v>0</v>
      </c>
      <c r="R102" s="179">
        <f t="shared" si="58"/>
        <v>0</v>
      </c>
      <c r="S102" s="179">
        <f>SUM(S74:S88)</f>
        <v>36611176.899999999</v>
      </c>
      <c r="T102" s="179">
        <f t="shared" si="58"/>
        <v>0</v>
      </c>
    </row>
  </sheetData>
  <mergeCells count="13">
    <mergeCell ref="A31:A32"/>
    <mergeCell ref="A67:A69"/>
    <mergeCell ref="A55:A65"/>
    <mergeCell ref="B2:D2"/>
    <mergeCell ref="A5:A6"/>
    <mergeCell ref="A8:A13"/>
    <mergeCell ref="A15:A17"/>
    <mergeCell ref="A19:A29"/>
    <mergeCell ref="A71:A72"/>
    <mergeCell ref="A74:A102"/>
    <mergeCell ref="A52:A53"/>
    <mergeCell ref="A37:A50"/>
    <mergeCell ref="A34:A35"/>
  </mergeCells>
  <phoneticPr fontId="1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D531-D783-404D-9D59-2A15D3D21B79}">
  <dimension ref="A1:W50"/>
  <sheetViews>
    <sheetView tabSelected="1" topLeftCell="A30" workbookViewId="0">
      <selection activeCell="T50" sqref="T50"/>
    </sheetView>
  </sheetViews>
  <sheetFormatPr defaultRowHeight="15"/>
  <cols>
    <col min="1" max="1" width="8.85546875" bestFit="1" customWidth="1"/>
    <col min="3" max="3" width="13.85546875" bestFit="1" customWidth="1"/>
    <col min="4" max="4" width="36.85546875" customWidth="1"/>
    <col min="5" max="5" width="11.140625" bestFit="1" customWidth="1"/>
    <col min="6" max="6" width="50.7109375" customWidth="1"/>
    <col min="7" max="7" width="13.140625" bestFit="1" customWidth="1"/>
    <col min="8" max="8" width="12.140625" bestFit="1" customWidth="1"/>
    <col min="9" max="9" width="13.140625" bestFit="1" customWidth="1"/>
    <col min="10" max="10" width="10.42578125" bestFit="1" customWidth="1"/>
    <col min="11" max="11" width="9.42578125" bestFit="1" customWidth="1"/>
    <col min="12" max="12" width="13.85546875" customWidth="1"/>
    <col min="13" max="13" width="9.42578125" bestFit="1" customWidth="1"/>
    <col min="14" max="14" width="17.140625" customWidth="1"/>
    <col min="15" max="15" width="13.140625" bestFit="1" customWidth="1"/>
    <col min="16" max="16" width="11.140625" bestFit="1" customWidth="1"/>
    <col min="17" max="17" width="10.28515625" bestFit="1" customWidth="1"/>
    <col min="18" max="19" width="13.140625" bestFit="1" customWidth="1"/>
    <col min="20" max="20" width="10.7109375" bestFit="1" customWidth="1"/>
    <col min="22" max="22" width="9.7109375" bestFit="1" customWidth="1"/>
  </cols>
  <sheetData>
    <row r="1" spans="1:23">
      <c r="B1" s="1"/>
      <c r="C1" s="1"/>
      <c r="E1" s="1"/>
      <c r="M1" s="61"/>
      <c r="Q1" s="1"/>
      <c r="R1" s="2"/>
      <c r="T1" s="1"/>
    </row>
    <row r="2" spans="1:23" ht="21">
      <c r="B2" s="149" t="s">
        <v>445</v>
      </c>
      <c r="C2" s="150"/>
      <c r="D2" s="151"/>
      <c r="E2" s="79"/>
      <c r="M2" s="61"/>
      <c r="Q2" s="1"/>
      <c r="R2" s="2"/>
      <c r="T2" s="1"/>
    </row>
    <row r="3" spans="1:23">
      <c r="B3" s="1"/>
      <c r="C3" s="1"/>
      <c r="E3" s="1"/>
      <c r="M3" s="61"/>
      <c r="Q3" s="1"/>
      <c r="R3" s="2"/>
      <c r="T3" s="1"/>
    </row>
    <row r="4" spans="1:23" ht="46.5"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18" t="s">
        <v>7</v>
      </c>
      <c r="I4" s="18" t="s">
        <v>8</v>
      </c>
      <c r="J4" s="19" t="s">
        <v>9</v>
      </c>
      <c r="K4" s="20" t="s">
        <v>10</v>
      </c>
      <c r="L4" s="20" t="s">
        <v>11</v>
      </c>
      <c r="M4" s="60" t="s">
        <v>12</v>
      </c>
      <c r="N4" s="20" t="s">
        <v>13</v>
      </c>
      <c r="O4" s="20" t="s">
        <v>14</v>
      </c>
      <c r="P4" s="21" t="s">
        <v>15</v>
      </c>
      <c r="Q4" s="20" t="s">
        <v>16</v>
      </c>
      <c r="R4" s="60" t="s">
        <v>17</v>
      </c>
      <c r="S4" s="22" t="s">
        <v>18</v>
      </c>
      <c r="T4" s="23" t="s">
        <v>19</v>
      </c>
      <c r="U4" s="24"/>
      <c r="V4" s="25"/>
      <c r="W4" s="26"/>
    </row>
    <row r="5" spans="1:23">
      <c r="A5" s="154" t="s">
        <v>49</v>
      </c>
      <c r="B5" s="155" t="s">
        <v>446</v>
      </c>
      <c r="C5" s="155" t="s">
        <v>446</v>
      </c>
      <c r="D5" s="155" t="s">
        <v>446</v>
      </c>
      <c r="E5" s="156" t="s">
        <v>446</v>
      </c>
      <c r="F5" s="155" t="s">
        <v>446</v>
      </c>
      <c r="G5" s="157" t="s">
        <v>446</v>
      </c>
      <c r="H5" s="158" t="s">
        <v>446</v>
      </c>
      <c r="I5" s="158" t="s">
        <v>446</v>
      </c>
      <c r="J5" s="158" t="s">
        <v>446</v>
      </c>
      <c r="K5" s="158" t="s">
        <v>446</v>
      </c>
      <c r="L5" s="158" t="s">
        <v>446</v>
      </c>
      <c r="M5" s="159" t="s">
        <v>446</v>
      </c>
      <c r="N5" s="158" t="s">
        <v>446</v>
      </c>
      <c r="O5" s="158" t="s">
        <v>446</v>
      </c>
      <c r="P5" s="156" t="s">
        <v>446</v>
      </c>
      <c r="Q5" s="160" t="s">
        <v>446</v>
      </c>
      <c r="R5" s="159" t="s">
        <v>446</v>
      </c>
      <c r="S5" s="158" t="s">
        <v>446</v>
      </c>
      <c r="T5" s="155" t="s">
        <v>446</v>
      </c>
    </row>
    <row r="6" spans="1:23">
      <c r="A6" s="154"/>
      <c r="B6" s="161"/>
      <c r="C6" s="162"/>
      <c r="D6" s="163"/>
      <c r="E6" s="164"/>
      <c r="F6" s="165"/>
      <c r="G6" s="166" t="str">
        <f>+G5</f>
        <v>-</v>
      </c>
      <c r="H6" s="166" t="str">
        <f t="shared" ref="H6:S6" si="0">+H5</f>
        <v>-</v>
      </c>
      <c r="I6" s="166" t="str">
        <f t="shared" si="0"/>
        <v>-</v>
      </c>
      <c r="J6" s="166" t="str">
        <f t="shared" si="0"/>
        <v>-</v>
      </c>
      <c r="K6" s="166" t="str">
        <f t="shared" si="0"/>
        <v>-</v>
      </c>
      <c r="L6" s="166" t="str">
        <f t="shared" si="0"/>
        <v>-</v>
      </c>
      <c r="M6" s="166" t="str">
        <f t="shared" si="0"/>
        <v>-</v>
      </c>
      <c r="N6" s="166" t="str">
        <f t="shared" si="0"/>
        <v>-</v>
      </c>
      <c r="O6" s="166" t="str">
        <f t="shared" si="0"/>
        <v>-</v>
      </c>
      <c r="P6" s="166" t="str">
        <f t="shared" si="0"/>
        <v>-</v>
      </c>
      <c r="Q6" s="166" t="str">
        <f t="shared" si="0"/>
        <v>-</v>
      </c>
      <c r="R6" s="166" t="str">
        <f t="shared" si="0"/>
        <v>-</v>
      </c>
      <c r="S6" s="166" t="str">
        <f t="shared" si="0"/>
        <v>-</v>
      </c>
      <c r="T6" s="166"/>
    </row>
    <row r="7" spans="1:23">
      <c r="A7" s="167"/>
      <c r="B7" s="155"/>
      <c r="C7" s="167"/>
      <c r="D7" s="167"/>
      <c r="E7" s="168"/>
      <c r="F7" s="167"/>
      <c r="G7" s="167"/>
      <c r="H7" s="158"/>
      <c r="I7" s="158"/>
      <c r="J7" s="158"/>
      <c r="K7" s="158"/>
      <c r="L7" s="158"/>
      <c r="M7" s="159"/>
      <c r="N7" s="158"/>
      <c r="O7" s="158"/>
      <c r="P7" s="156"/>
      <c r="Q7" s="155"/>
      <c r="R7" s="159"/>
      <c r="S7" s="158"/>
      <c r="T7" s="155"/>
    </row>
    <row r="8" spans="1:23">
      <c r="A8" s="169" t="s">
        <v>70</v>
      </c>
      <c r="B8" s="155" t="s">
        <v>446</v>
      </c>
      <c r="C8" s="155" t="s">
        <v>446</v>
      </c>
      <c r="D8" s="155" t="s">
        <v>446</v>
      </c>
      <c r="E8" s="156" t="s">
        <v>446</v>
      </c>
      <c r="F8" s="155" t="s">
        <v>446</v>
      </c>
      <c r="G8" s="157" t="s">
        <v>446</v>
      </c>
      <c r="H8" s="158" t="s">
        <v>446</v>
      </c>
      <c r="I8" s="158" t="s">
        <v>446</v>
      </c>
      <c r="J8" s="158" t="s">
        <v>446</v>
      </c>
      <c r="K8" s="158" t="s">
        <v>446</v>
      </c>
      <c r="L8" s="158" t="s">
        <v>446</v>
      </c>
      <c r="M8" s="159" t="s">
        <v>446</v>
      </c>
      <c r="N8" s="158" t="s">
        <v>446</v>
      </c>
      <c r="O8" s="158" t="s">
        <v>446</v>
      </c>
      <c r="P8" s="156" t="s">
        <v>446</v>
      </c>
      <c r="Q8" s="160" t="s">
        <v>446</v>
      </c>
      <c r="R8" s="159" t="s">
        <v>446</v>
      </c>
      <c r="S8" s="158" t="s">
        <v>446</v>
      </c>
      <c r="T8" s="155" t="s">
        <v>446</v>
      </c>
    </row>
    <row r="9" spans="1:23">
      <c r="A9" s="169"/>
      <c r="B9" s="161"/>
      <c r="C9" s="161"/>
      <c r="D9" s="161"/>
      <c r="E9" s="175"/>
      <c r="F9" s="161"/>
      <c r="G9" s="166">
        <f>SUM(G8:G8)</f>
        <v>0</v>
      </c>
      <c r="H9" s="166">
        <f>SUM(H8:H8)</f>
        <v>0</v>
      </c>
      <c r="I9" s="166">
        <f>SUM(I8:I8)</f>
        <v>0</v>
      </c>
      <c r="J9" s="166">
        <f>SUM(J8:J8)</f>
        <v>0</v>
      </c>
      <c r="K9" s="166">
        <f>SUM(K8:K8)</f>
        <v>0</v>
      </c>
      <c r="L9" s="166">
        <f>SUM(L8:L8)</f>
        <v>0</v>
      </c>
      <c r="M9" s="166">
        <f>SUM(M8:M8)</f>
        <v>0</v>
      </c>
      <c r="N9" s="166">
        <f>SUM(N8:N8)</f>
        <v>0</v>
      </c>
      <c r="O9" s="166">
        <f>SUM(O8:O8)</f>
        <v>0</v>
      </c>
      <c r="P9" s="166">
        <f>SUM(P8:P8)</f>
        <v>0</v>
      </c>
      <c r="Q9" s="166">
        <f>SUM(Q8:Q8)</f>
        <v>0</v>
      </c>
      <c r="R9" s="166">
        <f>SUM(R8:R8)</f>
        <v>0</v>
      </c>
      <c r="S9" s="166">
        <f>SUM(S8:S8)</f>
        <v>0</v>
      </c>
      <c r="T9" s="166">
        <f>SUM(T8:T8)</f>
        <v>0</v>
      </c>
    </row>
    <row r="10" spans="1:23">
      <c r="A10" s="167"/>
      <c r="B10" s="167"/>
      <c r="C10" s="167"/>
      <c r="D10" s="167"/>
      <c r="E10" s="168"/>
      <c r="F10" s="167"/>
      <c r="G10" s="176"/>
      <c r="H10" s="177"/>
      <c r="I10" s="177"/>
      <c r="J10" s="177"/>
      <c r="K10" s="177"/>
      <c r="L10" s="177"/>
      <c r="M10" s="178"/>
      <c r="N10" s="177"/>
      <c r="O10" s="177"/>
      <c r="P10" s="168"/>
      <c r="Q10" s="167"/>
      <c r="R10" s="178"/>
      <c r="S10" s="177"/>
      <c r="T10" s="167"/>
    </row>
    <row r="11" spans="1:23">
      <c r="A11" s="169" t="s">
        <v>90</v>
      </c>
      <c r="B11" s="155" t="s">
        <v>447</v>
      </c>
      <c r="C11" s="155" t="s">
        <v>374</v>
      </c>
      <c r="D11" s="155" t="s">
        <v>448</v>
      </c>
      <c r="E11" s="156">
        <v>45719</v>
      </c>
      <c r="F11" s="155" t="s">
        <v>449</v>
      </c>
      <c r="G11" s="157">
        <v>3200000</v>
      </c>
      <c r="H11" s="158">
        <f t="shared" ref="H11:H13" si="1">G11*0.19</f>
        <v>608000</v>
      </c>
      <c r="I11" s="158">
        <f>G11+H11</f>
        <v>3808000</v>
      </c>
      <c r="J11" s="158">
        <v>0</v>
      </c>
      <c r="K11" s="158">
        <v>0</v>
      </c>
      <c r="L11" s="158">
        <f>H11*0.15</f>
        <v>91200</v>
      </c>
      <c r="M11" s="159">
        <v>0</v>
      </c>
      <c r="N11" s="158">
        <v>0</v>
      </c>
      <c r="O11" s="158">
        <f>+I11-N11</f>
        <v>3808000</v>
      </c>
      <c r="P11" s="156"/>
      <c r="Q11" s="160"/>
      <c r="R11" s="159"/>
      <c r="S11" s="158">
        <f>+O11-R11</f>
        <v>3808000</v>
      </c>
      <c r="T11" s="155" t="s">
        <v>349</v>
      </c>
    </row>
    <row r="12" spans="1:23">
      <c r="A12" s="169"/>
      <c r="B12" s="155" t="s">
        <v>450</v>
      </c>
      <c r="C12" s="155" t="s">
        <v>378</v>
      </c>
      <c r="D12" s="155" t="s">
        <v>451</v>
      </c>
      <c r="E12" s="156">
        <v>45727</v>
      </c>
      <c r="F12" s="155" t="s">
        <v>452</v>
      </c>
      <c r="G12" s="157">
        <v>250000</v>
      </c>
      <c r="H12" s="158">
        <f t="shared" si="1"/>
        <v>47500</v>
      </c>
      <c r="I12" s="158">
        <f>G12+H12</f>
        <v>297500</v>
      </c>
      <c r="J12" s="158">
        <v>0</v>
      </c>
      <c r="K12" s="158">
        <v>0</v>
      </c>
      <c r="L12" s="158">
        <f>H12*0.15</f>
        <v>7125</v>
      </c>
      <c r="M12" s="159">
        <v>0</v>
      </c>
      <c r="N12" s="158">
        <v>0</v>
      </c>
      <c r="O12" s="158">
        <f>+I12-N12</f>
        <v>297500</v>
      </c>
      <c r="P12" s="156"/>
      <c r="Q12" s="160"/>
      <c r="R12" s="159"/>
      <c r="S12" s="158">
        <f>+O12-R12</f>
        <v>297500</v>
      </c>
      <c r="T12" s="155" t="s">
        <v>349</v>
      </c>
    </row>
    <row r="13" spans="1:23">
      <c r="A13" s="169"/>
      <c r="B13" s="155" t="s">
        <v>453</v>
      </c>
      <c r="C13" s="155" t="s">
        <v>454</v>
      </c>
      <c r="D13" s="155" t="s">
        <v>455</v>
      </c>
      <c r="E13" s="156">
        <v>45735</v>
      </c>
      <c r="F13" s="155" t="s">
        <v>456</v>
      </c>
      <c r="G13" s="157">
        <v>240000</v>
      </c>
      <c r="H13" s="158">
        <f t="shared" si="1"/>
        <v>45600</v>
      </c>
      <c r="I13" s="158">
        <f>G13+H13</f>
        <v>285600</v>
      </c>
      <c r="J13" s="158">
        <v>0</v>
      </c>
      <c r="K13" s="158">
        <v>0</v>
      </c>
      <c r="L13" s="158">
        <f>H13*0.15</f>
        <v>6840</v>
      </c>
      <c r="M13" s="159">
        <v>0</v>
      </c>
      <c r="N13" s="158">
        <v>0</v>
      </c>
      <c r="O13" s="158">
        <f>+I13-N13</f>
        <v>285600</v>
      </c>
      <c r="P13" s="156"/>
      <c r="Q13" s="160"/>
      <c r="R13" s="159"/>
      <c r="S13" s="158">
        <f>+O13-R13</f>
        <v>285600</v>
      </c>
      <c r="T13" s="155" t="s">
        <v>112</v>
      </c>
    </row>
    <row r="14" spans="1:23">
      <c r="A14" s="169"/>
      <c r="B14" s="161"/>
      <c r="C14" s="161"/>
      <c r="D14" s="161"/>
      <c r="E14" s="161"/>
      <c r="F14" s="161"/>
      <c r="G14" s="131">
        <f>SUM(G11:G13)</f>
        <v>3690000</v>
      </c>
      <c r="H14" s="179">
        <f t="shared" ref="H14:T14" si="2">SUM(H11:H13)</f>
        <v>701100</v>
      </c>
      <c r="I14" s="179">
        <f t="shared" si="2"/>
        <v>4391100</v>
      </c>
      <c r="J14" s="179">
        <f t="shared" si="2"/>
        <v>0</v>
      </c>
      <c r="K14" s="179">
        <f t="shared" si="2"/>
        <v>0</v>
      </c>
      <c r="L14" s="179">
        <f t="shared" si="2"/>
        <v>105165</v>
      </c>
      <c r="M14" s="179">
        <f t="shared" si="2"/>
        <v>0</v>
      </c>
      <c r="N14" s="179">
        <f t="shared" si="2"/>
        <v>0</v>
      </c>
      <c r="O14" s="179">
        <f t="shared" si="2"/>
        <v>4391100</v>
      </c>
      <c r="P14" s="179">
        <f t="shared" si="2"/>
        <v>0</v>
      </c>
      <c r="Q14" s="179">
        <f t="shared" si="2"/>
        <v>0</v>
      </c>
      <c r="R14" s="179">
        <f t="shared" si="2"/>
        <v>0</v>
      </c>
      <c r="S14" s="179">
        <f t="shared" si="2"/>
        <v>4391100</v>
      </c>
      <c r="T14" s="179">
        <f t="shared" si="2"/>
        <v>0</v>
      </c>
    </row>
    <row r="16" spans="1:23">
      <c r="A16" s="169" t="s">
        <v>109</v>
      </c>
      <c r="B16" s="155" t="s">
        <v>457</v>
      </c>
      <c r="C16" s="155" t="s">
        <v>378</v>
      </c>
      <c r="D16" s="155" t="s">
        <v>451</v>
      </c>
      <c r="E16" s="156">
        <v>45754</v>
      </c>
      <c r="F16" s="155" t="s">
        <v>458</v>
      </c>
      <c r="G16" s="157">
        <v>1680000</v>
      </c>
      <c r="H16" s="158">
        <f t="shared" ref="H16:H37" si="3">G16*0.19</f>
        <v>319200</v>
      </c>
      <c r="I16" s="158">
        <f>G16+H16</f>
        <v>1999200</v>
      </c>
      <c r="J16" s="158">
        <v>0</v>
      </c>
      <c r="K16" s="158">
        <v>0</v>
      </c>
      <c r="L16" s="158">
        <f t="shared" ref="L16:L37" si="4">H16*0.15</f>
        <v>47880</v>
      </c>
      <c r="M16" s="159">
        <v>0</v>
      </c>
      <c r="N16" s="158">
        <f t="shared" ref="N16:N37" si="5">J16+K16+L16+M16</f>
        <v>47880</v>
      </c>
      <c r="O16" s="158">
        <f>+I16-N16</f>
        <v>1951320</v>
      </c>
      <c r="P16" s="156">
        <v>45813</v>
      </c>
      <c r="Q16" s="160" t="s">
        <v>459</v>
      </c>
      <c r="R16" s="159">
        <v>1951320</v>
      </c>
      <c r="S16" s="158">
        <f>+O16-R16</f>
        <v>0</v>
      </c>
      <c r="T16" s="155" t="s">
        <v>112</v>
      </c>
    </row>
    <row r="17" spans="1:20">
      <c r="A17" s="169"/>
      <c r="B17" s="155" t="s">
        <v>460</v>
      </c>
      <c r="C17" s="155" t="s">
        <v>378</v>
      </c>
      <c r="D17" s="155" t="s">
        <v>451</v>
      </c>
      <c r="E17" s="156">
        <v>45754</v>
      </c>
      <c r="F17" s="155" t="s">
        <v>458</v>
      </c>
      <c r="G17" s="157">
        <v>1680000</v>
      </c>
      <c r="H17" s="158">
        <f t="shared" si="3"/>
        <v>319200</v>
      </c>
      <c r="I17" s="158">
        <f>G17+H17</f>
        <v>1999200</v>
      </c>
      <c r="J17" s="158">
        <v>0</v>
      </c>
      <c r="K17" s="158">
        <v>0</v>
      </c>
      <c r="L17" s="158">
        <f t="shared" si="4"/>
        <v>47880</v>
      </c>
      <c r="M17" s="159">
        <v>0</v>
      </c>
      <c r="N17" s="158">
        <f t="shared" si="5"/>
        <v>47880</v>
      </c>
      <c r="O17" s="158">
        <f>+I17-N17</f>
        <v>1951320</v>
      </c>
      <c r="P17" s="156">
        <v>45813</v>
      </c>
      <c r="Q17" s="160" t="s">
        <v>459</v>
      </c>
      <c r="R17" s="159">
        <v>1951320</v>
      </c>
      <c r="S17" s="158">
        <f>+O17-R17</f>
        <v>0</v>
      </c>
      <c r="T17" s="155" t="s">
        <v>112</v>
      </c>
    </row>
    <row r="18" spans="1:20">
      <c r="A18" s="169"/>
      <c r="B18" s="155" t="s">
        <v>461</v>
      </c>
      <c r="C18" s="155" t="s">
        <v>378</v>
      </c>
      <c r="D18" s="155" t="s">
        <v>451</v>
      </c>
      <c r="E18" s="156">
        <v>45754</v>
      </c>
      <c r="F18" s="155" t="s">
        <v>444</v>
      </c>
      <c r="G18" s="157">
        <v>1400000</v>
      </c>
      <c r="H18" s="158">
        <f t="shared" ref="H18" si="6">G18*0.19</f>
        <v>266000</v>
      </c>
      <c r="I18" s="158">
        <f>G18+H18</f>
        <v>1666000</v>
      </c>
      <c r="J18" s="158">
        <v>0</v>
      </c>
      <c r="K18" s="158">
        <v>0</v>
      </c>
      <c r="L18" s="158">
        <f t="shared" si="4"/>
        <v>39900</v>
      </c>
      <c r="M18" s="159">
        <v>0</v>
      </c>
      <c r="N18" s="158">
        <f t="shared" si="5"/>
        <v>39900</v>
      </c>
      <c r="O18" s="158">
        <f>+I18-N18</f>
        <v>1626100</v>
      </c>
      <c r="P18" s="156">
        <v>45813</v>
      </c>
      <c r="Q18" s="160" t="s">
        <v>459</v>
      </c>
      <c r="R18" s="159">
        <v>1626100</v>
      </c>
      <c r="S18" s="158">
        <f>+O18-R18</f>
        <v>0</v>
      </c>
      <c r="T18" s="155" t="s">
        <v>112</v>
      </c>
    </row>
    <row r="19" spans="1:20">
      <c r="A19" s="169"/>
      <c r="B19" s="155" t="s">
        <v>462</v>
      </c>
      <c r="C19" s="155" t="s">
        <v>378</v>
      </c>
      <c r="D19" s="155" t="s">
        <v>451</v>
      </c>
      <c r="E19" s="156">
        <v>45754</v>
      </c>
      <c r="F19" s="155" t="s">
        <v>444</v>
      </c>
      <c r="G19" s="157">
        <v>1400000</v>
      </c>
      <c r="H19" s="158">
        <f t="shared" ref="H19" si="7">G19*0.19</f>
        <v>266000</v>
      </c>
      <c r="I19" s="158">
        <f>G19+H19</f>
        <v>1666000</v>
      </c>
      <c r="J19" s="158">
        <v>0</v>
      </c>
      <c r="K19" s="158">
        <v>0</v>
      </c>
      <c r="L19" s="158">
        <f t="shared" si="4"/>
        <v>39900</v>
      </c>
      <c r="M19" s="159">
        <v>0</v>
      </c>
      <c r="N19" s="158">
        <f t="shared" si="5"/>
        <v>39900</v>
      </c>
      <c r="O19" s="158">
        <f>+I19-N19</f>
        <v>1626100</v>
      </c>
      <c r="P19" s="156">
        <v>45813</v>
      </c>
      <c r="Q19" s="160" t="s">
        <v>459</v>
      </c>
      <c r="R19" s="159">
        <v>1626100</v>
      </c>
      <c r="S19" s="158">
        <f>+O19-R19</f>
        <v>0</v>
      </c>
      <c r="T19" s="155" t="s">
        <v>112</v>
      </c>
    </row>
    <row r="20" spans="1:20">
      <c r="A20" s="169"/>
      <c r="B20" s="155" t="s">
        <v>463</v>
      </c>
      <c r="C20" s="155" t="s">
        <v>378</v>
      </c>
      <c r="D20" s="155" t="s">
        <v>451</v>
      </c>
      <c r="E20" s="156">
        <v>45754</v>
      </c>
      <c r="F20" s="155" t="s">
        <v>464</v>
      </c>
      <c r="G20" s="157">
        <v>396000</v>
      </c>
      <c r="H20" s="158">
        <f t="shared" ref="H20" si="8">G20*0.19</f>
        <v>75240</v>
      </c>
      <c r="I20" s="158">
        <f>G20+H20</f>
        <v>471240</v>
      </c>
      <c r="J20" s="158">
        <v>0</v>
      </c>
      <c r="K20" s="158">
        <v>0</v>
      </c>
      <c r="L20" s="158">
        <f t="shared" si="4"/>
        <v>11286</v>
      </c>
      <c r="M20" s="159">
        <v>0</v>
      </c>
      <c r="N20" s="158">
        <f t="shared" si="5"/>
        <v>11286</v>
      </c>
      <c r="O20" s="158">
        <f>+I20-N20</f>
        <v>459954</v>
      </c>
      <c r="P20" s="156">
        <v>45813</v>
      </c>
      <c r="Q20" s="160" t="s">
        <v>459</v>
      </c>
      <c r="R20" s="159">
        <v>459954</v>
      </c>
      <c r="S20" s="158">
        <f>+O20-R20</f>
        <v>0</v>
      </c>
      <c r="T20" s="155" t="s">
        <v>112</v>
      </c>
    </row>
    <row r="21" spans="1:20">
      <c r="A21" s="169"/>
      <c r="B21" s="155" t="s">
        <v>465</v>
      </c>
      <c r="C21" s="155" t="s">
        <v>378</v>
      </c>
      <c r="D21" s="155" t="s">
        <v>451</v>
      </c>
      <c r="E21" s="156">
        <v>45754</v>
      </c>
      <c r="F21" s="155" t="s">
        <v>464</v>
      </c>
      <c r="G21" s="157">
        <v>264000</v>
      </c>
      <c r="H21" s="158">
        <f t="shared" ref="H21" si="9">G21*0.19</f>
        <v>50160</v>
      </c>
      <c r="I21" s="158">
        <f>G21+H21</f>
        <v>314160</v>
      </c>
      <c r="J21" s="158">
        <v>0</v>
      </c>
      <c r="K21" s="158">
        <v>0</v>
      </c>
      <c r="L21" s="158">
        <f t="shared" si="4"/>
        <v>7524</v>
      </c>
      <c r="M21" s="159">
        <v>0</v>
      </c>
      <c r="N21" s="158">
        <f t="shared" si="5"/>
        <v>7524</v>
      </c>
      <c r="O21" s="158">
        <f>+I21-N21</f>
        <v>306636</v>
      </c>
      <c r="P21" s="156">
        <v>45813</v>
      </c>
      <c r="Q21" s="160" t="s">
        <v>459</v>
      </c>
      <c r="R21" s="159">
        <v>306636</v>
      </c>
      <c r="S21" s="158">
        <f>+O21-R21</f>
        <v>0</v>
      </c>
      <c r="T21" s="155" t="s">
        <v>112</v>
      </c>
    </row>
    <row r="22" spans="1:20">
      <c r="A22" s="169"/>
      <c r="B22" s="155" t="s">
        <v>466</v>
      </c>
      <c r="C22" s="155" t="s">
        <v>173</v>
      </c>
      <c r="D22" s="155" t="s">
        <v>467</v>
      </c>
      <c r="E22" s="156">
        <v>45754</v>
      </c>
      <c r="F22" s="155" t="s">
        <v>261</v>
      </c>
      <c r="G22" s="157">
        <v>500000</v>
      </c>
      <c r="H22" s="158">
        <f t="shared" ref="H22" si="10">G22*0.19</f>
        <v>95000</v>
      </c>
      <c r="I22" s="158">
        <f>G22+H22</f>
        <v>595000</v>
      </c>
      <c r="J22" s="158">
        <v>0</v>
      </c>
      <c r="K22" s="158">
        <v>0</v>
      </c>
      <c r="L22" s="158">
        <f t="shared" si="4"/>
        <v>14250</v>
      </c>
      <c r="M22" s="159">
        <v>0</v>
      </c>
      <c r="N22" s="158">
        <f t="shared" si="5"/>
        <v>14250</v>
      </c>
      <c r="O22" s="158">
        <f>+I22-N22</f>
        <v>580750</v>
      </c>
      <c r="P22" s="156">
        <v>45807</v>
      </c>
      <c r="Q22" s="160" t="s">
        <v>459</v>
      </c>
      <c r="R22" s="159">
        <v>580750</v>
      </c>
      <c r="S22" s="158">
        <f>+O22-R22</f>
        <v>0</v>
      </c>
      <c r="T22" s="155" t="s">
        <v>112</v>
      </c>
    </row>
    <row r="23" spans="1:20">
      <c r="A23" s="169"/>
      <c r="B23" s="155" t="s">
        <v>468</v>
      </c>
      <c r="C23" s="155" t="s">
        <v>378</v>
      </c>
      <c r="D23" s="155" t="s">
        <v>451</v>
      </c>
      <c r="E23" s="156">
        <v>45754</v>
      </c>
      <c r="F23" s="155" t="s">
        <v>469</v>
      </c>
      <c r="G23" s="157">
        <v>520000</v>
      </c>
      <c r="H23" s="158">
        <f t="shared" ref="H23:H31" si="11">G23*0.19</f>
        <v>98800</v>
      </c>
      <c r="I23" s="158">
        <f>G23+H23</f>
        <v>618800</v>
      </c>
      <c r="J23" s="158">
        <v>0</v>
      </c>
      <c r="K23" s="158">
        <v>0</v>
      </c>
      <c r="L23" s="158">
        <f t="shared" si="4"/>
        <v>14820</v>
      </c>
      <c r="M23" s="159">
        <v>0</v>
      </c>
      <c r="N23" s="158">
        <f t="shared" si="5"/>
        <v>14820</v>
      </c>
      <c r="O23" s="158">
        <f>+I23-N23</f>
        <v>603980</v>
      </c>
      <c r="P23" s="156">
        <v>45813</v>
      </c>
      <c r="Q23" s="160" t="s">
        <v>459</v>
      </c>
      <c r="R23" s="159">
        <v>603980</v>
      </c>
      <c r="S23" s="158">
        <f>+O23-R23</f>
        <v>0</v>
      </c>
      <c r="T23" s="155" t="s">
        <v>112</v>
      </c>
    </row>
    <row r="24" spans="1:20">
      <c r="A24" s="169"/>
      <c r="B24" s="155" t="s">
        <v>470</v>
      </c>
      <c r="C24" s="155" t="s">
        <v>378</v>
      </c>
      <c r="D24" s="155" t="s">
        <v>451</v>
      </c>
      <c r="E24" s="156">
        <v>45754</v>
      </c>
      <c r="F24" s="155" t="s">
        <v>469</v>
      </c>
      <c r="G24" s="157">
        <v>2400000</v>
      </c>
      <c r="H24" s="158">
        <f t="shared" si="11"/>
        <v>456000</v>
      </c>
      <c r="I24" s="158">
        <f>G24+H24</f>
        <v>2856000</v>
      </c>
      <c r="J24" s="158">
        <v>0</v>
      </c>
      <c r="K24" s="158">
        <v>0</v>
      </c>
      <c r="L24" s="158">
        <f t="shared" si="4"/>
        <v>68400</v>
      </c>
      <c r="M24" s="159">
        <v>0</v>
      </c>
      <c r="N24" s="158">
        <f t="shared" si="5"/>
        <v>68400</v>
      </c>
      <c r="O24" s="158">
        <f>+I24-N24</f>
        <v>2787600</v>
      </c>
      <c r="P24" s="156"/>
      <c r="Q24" s="160" t="s">
        <v>459</v>
      </c>
      <c r="R24" s="159"/>
      <c r="S24" s="158">
        <f>+O24-R24</f>
        <v>2787600</v>
      </c>
      <c r="T24" s="155" t="s">
        <v>349</v>
      </c>
    </row>
    <row r="25" spans="1:20">
      <c r="A25" s="169"/>
      <c r="B25" s="155" t="s">
        <v>471</v>
      </c>
      <c r="C25" s="155" t="s">
        <v>378</v>
      </c>
      <c r="D25" s="155" t="s">
        <v>451</v>
      </c>
      <c r="E25" s="156">
        <v>45754</v>
      </c>
      <c r="F25" s="155" t="s">
        <v>469</v>
      </c>
      <c r="G25" s="157">
        <v>2400000</v>
      </c>
      <c r="H25" s="158">
        <f t="shared" si="11"/>
        <v>456000</v>
      </c>
      <c r="I25" s="158">
        <f>G25+H25</f>
        <v>2856000</v>
      </c>
      <c r="J25" s="158">
        <v>0</v>
      </c>
      <c r="K25" s="158">
        <v>0</v>
      </c>
      <c r="L25" s="158">
        <f t="shared" si="4"/>
        <v>68400</v>
      </c>
      <c r="M25" s="159">
        <v>0</v>
      </c>
      <c r="N25" s="158">
        <f t="shared" si="5"/>
        <v>68400</v>
      </c>
      <c r="O25" s="158">
        <f>+I25-N25</f>
        <v>2787600</v>
      </c>
      <c r="P25" s="156">
        <v>45813</v>
      </c>
      <c r="Q25" s="160" t="s">
        <v>459</v>
      </c>
      <c r="R25" s="159">
        <v>2787600</v>
      </c>
      <c r="S25" s="158">
        <f>+O25-R25</f>
        <v>0</v>
      </c>
      <c r="T25" s="155" t="s">
        <v>112</v>
      </c>
    </row>
    <row r="26" spans="1:20">
      <c r="A26" s="169"/>
      <c r="B26" s="155" t="s">
        <v>472</v>
      </c>
      <c r="C26" s="155" t="s">
        <v>378</v>
      </c>
      <c r="D26" s="155" t="s">
        <v>451</v>
      </c>
      <c r="E26" s="156">
        <v>45754</v>
      </c>
      <c r="F26" s="155" t="s">
        <v>473</v>
      </c>
      <c r="G26" s="157">
        <v>2000000</v>
      </c>
      <c r="H26" s="158">
        <f t="shared" si="11"/>
        <v>380000</v>
      </c>
      <c r="I26" s="158">
        <f>G26+H26</f>
        <v>2380000</v>
      </c>
      <c r="J26" s="158">
        <v>0</v>
      </c>
      <c r="K26" s="158">
        <v>0</v>
      </c>
      <c r="L26" s="158">
        <f t="shared" si="4"/>
        <v>57000</v>
      </c>
      <c r="M26" s="159">
        <v>0</v>
      </c>
      <c r="N26" s="158">
        <f t="shared" si="5"/>
        <v>57000</v>
      </c>
      <c r="O26" s="158">
        <f>+I26-N26</f>
        <v>2323000</v>
      </c>
      <c r="P26" s="156"/>
      <c r="Q26" s="160" t="s">
        <v>459</v>
      </c>
      <c r="R26" s="159"/>
      <c r="S26" s="158">
        <f>+O26-R26</f>
        <v>2323000</v>
      </c>
      <c r="T26" s="155" t="s">
        <v>349</v>
      </c>
    </row>
    <row r="27" spans="1:20" ht="21.75" customHeight="1">
      <c r="A27" s="169"/>
      <c r="B27" s="155" t="s">
        <v>474</v>
      </c>
      <c r="C27" s="155" t="s">
        <v>378</v>
      </c>
      <c r="D27" s="155" t="s">
        <v>451</v>
      </c>
      <c r="E27" s="156">
        <v>45754</v>
      </c>
      <c r="F27" s="204" t="s">
        <v>475</v>
      </c>
      <c r="G27" s="157">
        <v>1440000</v>
      </c>
      <c r="H27" s="158">
        <f t="shared" si="11"/>
        <v>273600</v>
      </c>
      <c r="I27" s="158">
        <f>G27+H27</f>
        <v>1713600</v>
      </c>
      <c r="J27" s="158">
        <v>0</v>
      </c>
      <c r="K27" s="158">
        <v>0</v>
      </c>
      <c r="L27" s="158">
        <f t="shared" si="4"/>
        <v>41040</v>
      </c>
      <c r="M27" s="159">
        <v>0</v>
      </c>
      <c r="N27" s="158">
        <f t="shared" si="5"/>
        <v>41040</v>
      </c>
      <c r="O27" s="158">
        <f>+I27-N27</f>
        <v>1672560</v>
      </c>
      <c r="P27" s="156">
        <v>45813</v>
      </c>
      <c r="Q27" s="160" t="s">
        <v>459</v>
      </c>
      <c r="R27" s="159">
        <v>1672560</v>
      </c>
      <c r="S27" s="158">
        <f>+O27-R27</f>
        <v>0</v>
      </c>
      <c r="T27" s="155" t="s">
        <v>112</v>
      </c>
    </row>
    <row r="28" spans="1:20">
      <c r="A28" s="169"/>
      <c r="B28" s="155" t="s">
        <v>476</v>
      </c>
      <c r="C28" s="155" t="s">
        <v>378</v>
      </c>
      <c r="D28" s="155" t="s">
        <v>451</v>
      </c>
      <c r="E28" s="156">
        <v>45754</v>
      </c>
      <c r="F28" s="155" t="s">
        <v>477</v>
      </c>
      <c r="G28" s="157">
        <v>2800000</v>
      </c>
      <c r="H28" s="158">
        <f t="shared" si="11"/>
        <v>532000</v>
      </c>
      <c r="I28" s="158">
        <f>G28+H28</f>
        <v>3332000</v>
      </c>
      <c r="J28" s="158">
        <v>0</v>
      </c>
      <c r="K28" s="158">
        <v>0</v>
      </c>
      <c r="L28" s="158">
        <f t="shared" si="4"/>
        <v>79800</v>
      </c>
      <c r="M28" s="159">
        <v>0</v>
      </c>
      <c r="N28" s="158">
        <f t="shared" si="5"/>
        <v>79800</v>
      </c>
      <c r="O28" s="158">
        <f>+I28-N28</f>
        <v>3252200</v>
      </c>
      <c r="P28" s="156"/>
      <c r="Q28" s="160" t="s">
        <v>459</v>
      </c>
      <c r="R28" s="159"/>
      <c r="S28" s="158">
        <f>+O28-R28</f>
        <v>3252200</v>
      </c>
      <c r="T28" s="155" t="s">
        <v>349</v>
      </c>
    </row>
    <row r="29" spans="1:20">
      <c r="A29" s="169"/>
      <c r="B29" s="155" t="s">
        <v>478</v>
      </c>
      <c r="C29" s="155" t="s">
        <v>378</v>
      </c>
      <c r="D29" s="155" t="s">
        <v>451</v>
      </c>
      <c r="E29" s="156">
        <v>45756</v>
      </c>
      <c r="F29" s="155" t="s">
        <v>469</v>
      </c>
      <c r="G29" s="157">
        <v>900000</v>
      </c>
      <c r="H29" s="158">
        <f t="shared" si="11"/>
        <v>171000</v>
      </c>
      <c r="I29" s="158">
        <f>G29+H29</f>
        <v>1071000</v>
      </c>
      <c r="J29" s="158">
        <v>0</v>
      </c>
      <c r="K29" s="158">
        <v>0</v>
      </c>
      <c r="L29" s="158">
        <f t="shared" si="4"/>
        <v>25650</v>
      </c>
      <c r="M29" s="159">
        <v>0</v>
      </c>
      <c r="N29" s="158">
        <f t="shared" si="5"/>
        <v>25650</v>
      </c>
      <c r="O29" s="158">
        <f>+I29-N29</f>
        <v>1045350</v>
      </c>
      <c r="P29" s="156">
        <v>45813</v>
      </c>
      <c r="Q29" s="160" t="s">
        <v>459</v>
      </c>
      <c r="R29" s="159">
        <v>1045350</v>
      </c>
      <c r="S29" s="158">
        <f>+O29-R29</f>
        <v>0</v>
      </c>
      <c r="T29" s="155" t="s">
        <v>112</v>
      </c>
    </row>
    <row r="30" spans="1:20">
      <c r="A30" s="169"/>
      <c r="B30" s="155" t="s">
        <v>479</v>
      </c>
      <c r="C30" s="155" t="s">
        <v>378</v>
      </c>
      <c r="D30" s="155" t="s">
        <v>451</v>
      </c>
      <c r="E30" s="156">
        <v>45756</v>
      </c>
      <c r="F30" s="204" t="s">
        <v>477</v>
      </c>
      <c r="G30" s="157">
        <v>1400000</v>
      </c>
      <c r="H30" s="158">
        <f t="shared" si="11"/>
        <v>266000</v>
      </c>
      <c r="I30" s="158">
        <f>G30+H30</f>
        <v>1666000</v>
      </c>
      <c r="J30" s="158">
        <v>0</v>
      </c>
      <c r="K30" s="158">
        <v>0</v>
      </c>
      <c r="L30" s="158">
        <f t="shared" si="4"/>
        <v>39900</v>
      </c>
      <c r="M30" s="159">
        <v>0</v>
      </c>
      <c r="N30" s="158">
        <f t="shared" si="5"/>
        <v>39900</v>
      </c>
      <c r="O30" s="158">
        <f>+I30-N30</f>
        <v>1626100</v>
      </c>
      <c r="P30" s="156">
        <v>45813</v>
      </c>
      <c r="Q30" s="160" t="s">
        <v>459</v>
      </c>
      <c r="R30" s="159">
        <v>1626100</v>
      </c>
      <c r="S30" s="158">
        <f>+O30-R30</f>
        <v>0</v>
      </c>
      <c r="T30" s="155" t="s">
        <v>112</v>
      </c>
    </row>
    <row r="31" spans="1:20">
      <c r="A31" s="169"/>
      <c r="B31" s="155" t="s">
        <v>480</v>
      </c>
      <c r="C31" s="155" t="s">
        <v>378</v>
      </c>
      <c r="D31" s="155" t="s">
        <v>451</v>
      </c>
      <c r="E31" s="156">
        <v>45756</v>
      </c>
      <c r="F31" s="155" t="s">
        <v>481</v>
      </c>
      <c r="G31" s="157">
        <v>2800000</v>
      </c>
      <c r="H31" s="158">
        <f t="shared" si="11"/>
        <v>532000</v>
      </c>
      <c r="I31" s="158">
        <f>G31+H31</f>
        <v>3332000</v>
      </c>
      <c r="J31" s="158">
        <v>0</v>
      </c>
      <c r="K31" s="158">
        <v>0</v>
      </c>
      <c r="L31" s="158">
        <f t="shared" si="4"/>
        <v>79800</v>
      </c>
      <c r="M31" s="159">
        <v>0</v>
      </c>
      <c r="N31" s="158">
        <f t="shared" si="5"/>
        <v>79800</v>
      </c>
      <c r="O31" s="158">
        <f>+I31-N31</f>
        <v>3252200</v>
      </c>
      <c r="P31" s="156"/>
      <c r="Q31" s="160" t="s">
        <v>459</v>
      </c>
      <c r="R31" s="159"/>
      <c r="S31" s="158">
        <f>+O31-R31</f>
        <v>3252200</v>
      </c>
      <c r="T31" s="155" t="s">
        <v>349</v>
      </c>
    </row>
    <row r="32" spans="1:20" ht="21" customHeight="1">
      <c r="A32" s="169"/>
      <c r="B32" s="155" t="s">
        <v>482</v>
      </c>
      <c r="C32" s="155" t="s">
        <v>378</v>
      </c>
      <c r="D32" s="155" t="s">
        <v>451</v>
      </c>
      <c r="E32" s="156">
        <v>45756</v>
      </c>
      <c r="F32" s="204" t="s">
        <v>483</v>
      </c>
      <c r="G32" s="157">
        <v>4200000</v>
      </c>
      <c r="H32" s="158">
        <f t="shared" ref="H32:H35" si="12">G32*0.19</f>
        <v>798000</v>
      </c>
      <c r="I32" s="158">
        <f>G32+H32</f>
        <v>4998000</v>
      </c>
      <c r="J32" s="158">
        <v>0</v>
      </c>
      <c r="K32" s="158">
        <v>0</v>
      </c>
      <c r="L32" s="158">
        <f t="shared" si="4"/>
        <v>119700</v>
      </c>
      <c r="M32" s="159">
        <v>0</v>
      </c>
      <c r="N32" s="158">
        <f t="shared" si="5"/>
        <v>119700</v>
      </c>
      <c r="O32" s="158">
        <f>+I32-N32</f>
        <v>4878300</v>
      </c>
      <c r="P32" s="156"/>
      <c r="Q32" s="160" t="s">
        <v>459</v>
      </c>
      <c r="R32" s="159"/>
      <c r="S32" s="158">
        <f>+O32-R32</f>
        <v>4878300</v>
      </c>
      <c r="T32" s="155" t="s">
        <v>349</v>
      </c>
    </row>
    <row r="33" spans="1:20" ht="20.25" customHeight="1">
      <c r="A33" s="169"/>
      <c r="B33" s="155" t="s">
        <v>484</v>
      </c>
      <c r="C33" s="155" t="s">
        <v>378</v>
      </c>
      <c r="D33" s="155" t="s">
        <v>451</v>
      </c>
      <c r="E33" s="156">
        <v>45756</v>
      </c>
      <c r="F33" s="204" t="s">
        <v>485</v>
      </c>
      <c r="G33" s="157">
        <v>4500000</v>
      </c>
      <c r="H33" s="158">
        <f t="shared" si="12"/>
        <v>855000</v>
      </c>
      <c r="I33" s="158">
        <f>G33+H33</f>
        <v>5355000</v>
      </c>
      <c r="J33" s="158">
        <v>0</v>
      </c>
      <c r="K33" s="158">
        <v>0</v>
      </c>
      <c r="L33" s="158">
        <f t="shared" si="4"/>
        <v>128250</v>
      </c>
      <c r="M33" s="159">
        <v>0</v>
      </c>
      <c r="N33" s="158">
        <f t="shared" si="5"/>
        <v>128250</v>
      </c>
      <c r="O33" s="158">
        <f>+I33-N33</f>
        <v>5226750</v>
      </c>
      <c r="P33" s="156">
        <v>45813</v>
      </c>
      <c r="Q33" s="160" t="s">
        <v>459</v>
      </c>
      <c r="R33" s="159">
        <v>5226750</v>
      </c>
      <c r="S33" s="158">
        <f>+O33-R33</f>
        <v>0</v>
      </c>
      <c r="T33" s="155" t="s">
        <v>112</v>
      </c>
    </row>
    <row r="34" spans="1:20">
      <c r="A34" s="169"/>
      <c r="B34" s="155" t="s">
        <v>486</v>
      </c>
      <c r="C34" s="155" t="s">
        <v>378</v>
      </c>
      <c r="D34" s="155" t="s">
        <v>451</v>
      </c>
      <c r="E34" s="156">
        <v>45756</v>
      </c>
      <c r="F34" s="155" t="s">
        <v>487</v>
      </c>
      <c r="G34" s="157">
        <v>2600000</v>
      </c>
      <c r="H34" s="158">
        <f t="shared" si="12"/>
        <v>494000</v>
      </c>
      <c r="I34" s="158">
        <f>G34+H34</f>
        <v>3094000</v>
      </c>
      <c r="J34" s="158">
        <v>0</v>
      </c>
      <c r="K34" s="158">
        <v>0</v>
      </c>
      <c r="L34" s="158">
        <f t="shared" si="4"/>
        <v>74100</v>
      </c>
      <c r="M34" s="159">
        <v>0</v>
      </c>
      <c r="N34" s="158">
        <f t="shared" si="5"/>
        <v>74100</v>
      </c>
      <c r="O34" s="158">
        <f>+I34-N34</f>
        <v>3019900</v>
      </c>
      <c r="P34" s="156">
        <v>45813</v>
      </c>
      <c r="Q34" s="160" t="s">
        <v>459</v>
      </c>
      <c r="R34" s="159">
        <v>3019900</v>
      </c>
      <c r="S34" s="158">
        <f>+O34-R34</f>
        <v>0</v>
      </c>
      <c r="T34" s="155" t="s">
        <v>112</v>
      </c>
    </row>
    <row r="35" spans="1:20">
      <c r="A35" s="169"/>
      <c r="B35" s="155" t="s">
        <v>488</v>
      </c>
      <c r="C35" s="155" t="s">
        <v>378</v>
      </c>
      <c r="D35" s="155" t="s">
        <v>451</v>
      </c>
      <c r="E35" s="156">
        <v>45757</v>
      </c>
      <c r="F35" s="155" t="s">
        <v>489</v>
      </c>
      <c r="G35" s="157">
        <v>1100000</v>
      </c>
      <c r="H35" s="158">
        <f t="shared" si="12"/>
        <v>209000</v>
      </c>
      <c r="I35" s="158">
        <f>G35+H35</f>
        <v>1309000</v>
      </c>
      <c r="J35" s="158">
        <v>0</v>
      </c>
      <c r="K35" s="158">
        <v>0</v>
      </c>
      <c r="L35" s="158">
        <f t="shared" si="4"/>
        <v>31350</v>
      </c>
      <c r="M35" s="159">
        <v>0</v>
      </c>
      <c r="N35" s="158">
        <f t="shared" si="5"/>
        <v>31350</v>
      </c>
      <c r="O35" s="158">
        <f>+I35-N35</f>
        <v>1277650</v>
      </c>
      <c r="P35" s="156"/>
      <c r="Q35" s="160" t="s">
        <v>459</v>
      </c>
      <c r="R35" s="159"/>
      <c r="S35" s="158">
        <f>+O35-R35</f>
        <v>1277650</v>
      </c>
      <c r="T35" s="155" t="s">
        <v>349</v>
      </c>
    </row>
    <row r="36" spans="1:20">
      <c r="A36" s="169"/>
      <c r="B36" s="155" t="s">
        <v>490</v>
      </c>
      <c r="C36" s="155" t="s">
        <v>378</v>
      </c>
      <c r="D36" s="155" t="s">
        <v>451</v>
      </c>
      <c r="E36" s="156">
        <v>45757</v>
      </c>
      <c r="F36" s="155" t="s">
        <v>489</v>
      </c>
      <c r="G36" s="157">
        <v>2400000</v>
      </c>
      <c r="H36" s="158">
        <f t="shared" si="3"/>
        <v>456000</v>
      </c>
      <c r="I36" s="158">
        <f>G36+H36</f>
        <v>2856000</v>
      </c>
      <c r="J36" s="158">
        <v>0</v>
      </c>
      <c r="K36" s="158">
        <v>0</v>
      </c>
      <c r="L36" s="158">
        <f t="shared" si="4"/>
        <v>68400</v>
      </c>
      <c r="M36" s="159">
        <v>0</v>
      </c>
      <c r="N36" s="158">
        <f t="shared" si="5"/>
        <v>68400</v>
      </c>
      <c r="O36" s="158">
        <f>+I36-N36</f>
        <v>2787600</v>
      </c>
      <c r="P36" s="156">
        <v>45813</v>
      </c>
      <c r="Q36" s="160" t="s">
        <v>459</v>
      </c>
      <c r="R36" s="159">
        <v>2787600</v>
      </c>
      <c r="S36" s="158">
        <f>+O36-R36</f>
        <v>0</v>
      </c>
      <c r="T36" s="155" t="s">
        <v>112</v>
      </c>
    </row>
    <row r="37" spans="1:20">
      <c r="A37" s="169"/>
      <c r="B37" s="155" t="s">
        <v>491</v>
      </c>
      <c r="C37" s="155" t="s">
        <v>173</v>
      </c>
      <c r="D37" s="155" t="s">
        <v>467</v>
      </c>
      <c r="E37" s="156">
        <v>45792</v>
      </c>
      <c r="F37" s="155" t="s">
        <v>489</v>
      </c>
      <c r="G37" s="157">
        <v>300000</v>
      </c>
      <c r="H37" s="158">
        <f t="shared" si="3"/>
        <v>57000</v>
      </c>
      <c r="I37" s="158">
        <f>G37+H37</f>
        <v>357000</v>
      </c>
      <c r="J37" s="158">
        <v>0</v>
      </c>
      <c r="K37" s="158">
        <v>0</v>
      </c>
      <c r="L37" s="158">
        <f t="shared" si="4"/>
        <v>8550</v>
      </c>
      <c r="M37" s="159">
        <v>0</v>
      </c>
      <c r="N37" s="158">
        <f t="shared" si="5"/>
        <v>8550</v>
      </c>
      <c r="O37" s="158">
        <f>+I37-N37</f>
        <v>348450</v>
      </c>
      <c r="P37" s="156"/>
      <c r="Q37" s="160" t="s">
        <v>459</v>
      </c>
      <c r="R37" s="159"/>
      <c r="S37" s="158">
        <f>+O37-R37</f>
        <v>348450</v>
      </c>
      <c r="T37" s="155" t="s">
        <v>349</v>
      </c>
    </row>
    <row r="38" spans="1:20">
      <c r="A38" s="169"/>
      <c r="B38" s="161"/>
      <c r="C38" s="161"/>
      <c r="D38" s="161"/>
      <c r="E38" s="161"/>
      <c r="F38" s="161"/>
      <c r="G38" s="131">
        <f>SUM(G16:G37)</f>
        <v>39080000</v>
      </c>
      <c r="H38" s="179">
        <f t="shared" ref="H38:T38" si="13">SUM(H16:H37)</f>
        <v>7425200</v>
      </c>
      <c r="I38" s="179">
        <f t="shared" si="13"/>
        <v>46505200</v>
      </c>
      <c r="J38" s="179">
        <f t="shared" si="13"/>
        <v>0</v>
      </c>
      <c r="K38" s="179">
        <f t="shared" si="13"/>
        <v>0</v>
      </c>
      <c r="L38" s="179">
        <f t="shared" si="13"/>
        <v>1113780</v>
      </c>
      <c r="M38" s="179">
        <f t="shared" si="13"/>
        <v>0</v>
      </c>
      <c r="N38" s="179">
        <f t="shared" si="13"/>
        <v>1113780</v>
      </c>
      <c r="O38" s="179">
        <f t="shared" si="13"/>
        <v>45391420</v>
      </c>
      <c r="P38" s="179">
        <f t="shared" si="13"/>
        <v>687189</v>
      </c>
      <c r="Q38" s="179">
        <f t="shared" si="13"/>
        <v>0</v>
      </c>
      <c r="R38" s="179">
        <f t="shared" si="13"/>
        <v>27272020</v>
      </c>
      <c r="S38" s="179">
        <f t="shared" si="13"/>
        <v>18119400</v>
      </c>
      <c r="T38" s="179">
        <f t="shared" si="13"/>
        <v>0</v>
      </c>
    </row>
    <row r="40" spans="1:20">
      <c r="A40" s="169" t="s">
        <v>121</v>
      </c>
      <c r="B40" s="155" t="s">
        <v>492</v>
      </c>
      <c r="C40" s="155" t="s">
        <v>493</v>
      </c>
      <c r="D40" s="155" t="s">
        <v>494</v>
      </c>
      <c r="E40" s="156">
        <v>45783</v>
      </c>
      <c r="F40" s="155" t="s">
        <v>495</v>
      </c>
      <c r="G40" s="157">
        <v>200000</v>
      </c>
      <c r="H40" s="158">
        <f t="shared" ref="H40:H43" si="14">G40*0.19</f>
        <v>38000</v>
      </c>
      <c r="I40" s="158">
        <f>G40+H40</f>
        <v>238000</v>
      </c>
      <c r="J40" s="158">
        <v>0</v>
      </c>
      <c r="K40" s="158">
        <v>0</v>
      </c>
      <c r="L40" s="158">
        <v>0</v>
      </c>
      <c r="M40" s="159">
        <v>0</v>
      </c>
      <c r="N40" s="158">
        <v>0</v>
      </c>
      <c r="O40" s="158">
        <f>+I40-N40</f>
        <v>238000</v>
      </c>
      <c r="P40" s="156"/>
      <c r="Q40" s="160"/>
      <c r="R40" s="159">
        <v>238000</v>
      </c>
      <c r="S40" s="158">
        <f>+O40-R40</f>
        <v>0</v>
      </c>
      <c r="T40" s="155" t="s">
        <v>112</v>
      </c>
    </row>
    <row r="41" spans="1:20">
      <c r="A41" s="169"/>
      <c r="B41" s="155" t="s">
        <v>496</v>
      </c>
      <c r="C41" s="155" t="s">
        <v>497</v>
      </c>
      <c r="D41" s="155" t="s">
        <v>498</v>
      </c>
      <c r="E41" s="156">
        <v>45797</v>
      </c>
      <c r="F41" s="155" t="s">
        <v>499</v>
      </c>
      <c r="G41" s="157">
        <v>650000</v>
      </c>
      <c r="H41" s="158">
        <f t="shared" si="14"/>
        <v>123500</v>
      </c>
      <c r="I41" s="158">
        <f>G41+H41</f>
        <v>773500</v>
      </c>
      <c r="J41" s="158">
        <v>0</v>
      </c>
      <c r="K41" s="158">
        <v>0</v>
      </c>
      <c r="L41" s="158">
        <v>0</v>
      </c>
      <c r="M41" s="159">
        <v>0</v>
      </c>
      <c r="N41" s="158">
        <v>0</v>
      </c>
      <c r="O41" s="158">
        <f>+I41-N41</f>
        <v>773500</v>
      </c>
      <c r="P41" s="156"/>
      <c r="Q41" s="160"/>
      <c r="R41" s="159">
        <v>773500</v>
      </c>
      <c r="S41" s="158">
        <f>+O41-R41</f>
        <v>0</v>
      </c>
      <c r="T41" s="155" t="s">
        <v>112</v>
      </c>
    </row>
    <row r="42" spans="1:20">
      <c r="A42" s="169"/>
      <c r="B42" s="155" t="s">
        <v>500</v>
      </c>
      <c r="C42" s="155" t="s">
        <v>501</v>
      </c>
      <c r="D42" s="155" t="s">
        <v>502</v>
      </c>
      <c r="E42" s="156">
        <v>45797</v>
      </c>
      <c r="F42" s="155" t="s">
        <v>503</v>
      </c>
      <c r="G42" s="157">
        <v>350000</v>
      </c>
      <c r="H42" s="158">
        <f t="shared" si="14"/>
        <v>66500</v>
      </c>
      <c r="I42" s="158">
        <f>G42+H42</f>
        <v>416500</v>
      </c>
      <c r="J42" s="158">
        <v>0</v>
      </c>
      <c r="K42" s="158">
        <v>0</v>
      </c>
      <c r="L42" s="158">
        <v>0</v>
      </c>
      <c r="M42" s="159">
        <v>0</v>
      </c>
      <c r="N42" s="158">
        <v>0</v>
      </c>
      <c r="O42" s="158">
        <f>+I42-N42</f>
        <v>416500</v>
      </c>
      <c r="P42" s="156"/>
      <c r="Q42" s="160"/>
      <c r="R42" s="159">
        <v>416500</v>
      </c>
      <c r="S42" s="158">
        <f>+O42-R42</f>
        <v>0</v>
      </c>
      <c r="T42" s="155" t="s">
        <v>112</v>
      </c>
    </row>
    <row r="43" spans="1:20">
      <c r="A43" s="169"/>
      <c r="B43" s="155" t="s">
        <v>504</v>
      </c>
      <c r="C43" s="155" t="s">
        <v>501</v>
      </c>
      <c r="D43" s="155" t="s">
        <v>502</v>
      </c>
      <c r="E43" s="156">
        <v>45807</v>
      </c>
      <c r="F43" s="155" t="s">
        <v>503</v>
      </c>
      <c r="G43" s="157">
        <v>250000</v>
      </c>
      <c r="H43" s="158">
        <f t="shared" si="14"/>
        <v>47500</v>
      </c>
      <c r="I43" s="158">
        <f>G43+H43</f>
        <v>297500</v>
      </c>
      <c r="J43" s="158">
        <v>0</v>
      </c>
      <c r="K43" s="158">
        <v>0</v>
      </c>
      <c r="L43" s="158">
        <v>0</v>
      </c>
      <c r="M43" s="159">
        <v>0</v>
      </c>
      <c r="N43" s="158">
        <v>0</v>
      </c>
      <c r="O43" s="158">
        <f>+I43-N43</f>
        <v>297500</v>
      </c>
      <c r="P43" s="156"/>
      <c r="Q43" s="160"/>
      <c r="R43" s="159">
        <v>297500</v>
      </c>
      <c r="S43" s="158">
        <f>+O43-R43</f>
        <v>0</v>
      </c>
      <c r="T43" s="155" t="s">
        <v>112</v>
      </c>
    </row>
    <row r="44" spans="1:20">
      <c r="A44" s="169"/>
      <c r="B44" s="161"/>
      <c r="C44" s="161"/>
      <c r="D44" s="161"/>
      <c r="E44" s="161"/>
      <c r="F44" s="161"/>
      <c r="G44" s="131">
        <f>SUM(G40:G43)</f>
        <v>1450000</v>
      </c>
      <c r="H44" s="179">
        <f>SUM(H40:H43)</f>
        <v>275500</v>
      </c>
      <c r="I44" s="179">
        <f>SUM(I40:I43)</f>
        <v>1725500</v>
      </c>
      <c r="J44" s="179">
        <f>SUM(J40:J43)</f>
        <v>0</v>
      </c>
      <c r="K44" s="179">
        <f>SUM(K40:K43)</f>
        <v>0</v>
      </c>
      <c r="L44" s="179">
        <f>SUM(L40:L43)</f>
        <v>0</v>
      </c>
      <c r="M44" s="179">
        <f>SUM(M40:M43)</f>
        <v>0</v>
      </c>
      <c r="N44" s="179">
        <f>SUM(N40:N43)</f>
        <v>0</v>
      </c>
      <c r="O44" s="179">
        <f>SUM(O40:O43)</f>
        <v>1725500</v>
      </c>
      <c r="P44" s="179">
        <f>SUM(P40:P43)</f>
        <v>0</v>
      </c>
      <c r="Q44" s="179">
        <f>SUM(Q40:Q43)</f>
        <v>0</v>
      </c>
      <c r="R44" s="179">
        <f>SUM(R40:R43)</f>
        <v>1725500</v>
      </c>
      <c r="S44" s="179">
        <f>SUM(S40:S43)</f>
        <v>0</v>
      </c>
      <c r="T44" s="179">
        <f>SUM(T40:T43)</f>
        <v>0</v>
      </c>
    </row>
    <row r="46" spans="1:20">
      <c r="A46" s="169" t="s">
        <v>137</v>
      </c>
      <c r="B46" s="155"/>
      <c r="C46" s="155"/>
      <c r="D46" s="155"/>
      <c r="E46" s="156"/>
      <c r="F46" s="155"/>
      <c r="G46" s="157"/>
      <c r="H46" s="158"/>
      <c r="I46" s="158"/>
      <c r="J46" s="158"/>
      <c r="K46" s="158"/>
      <c r="L46" s="158"/>
      <c r="M46" s="159"/>
      <c r="N46" s="158"/>
      <c r="O46" s="158"/>
      <c r="P46" s="156"/>
      <c r="Q46" s="160"/>
      <c r="R46" s="159"/>
      <c r="S46" s="158"/>
      <c r="T46" s="155"/>
    </row>
    <row r="47" spans="1:20">
      <c r="A47" s="169"/>
      <c r="B47" s="161"/>
      <c r="C47" s="161"/>
      <c r="D47" s="161"/>
      <c r="E47" s="161"/>
      <c r="F47" s="161"/>
      <c r="G47" s="131">
        <f>SUM(G46:G46)</f>
        <v>0</v>
      </c>
      <c r="H47" s="179">
        <f>SUM(H46:H46)</f>
        <v>0</v>
      </c>
      <c r="I47" s="179">
        <f>SUM(I46:I46)</f>
        <v>0</v>
      </c>
      <c r="J47" s="179">
        <f>SUM(J46:J46)</f>
        <v>0</v>
      </c>
      <c r="K47" s="179">
        <f>SUM(K46:K46)</f>
        <v>0</v>
      </c>
      <c r="L47" s="179">
        <f>SUM(L46:L46)</f>
        <v>0</v>
      </c>
      <c r="M47" s="179">
        <f>SUM(M46:M46)</f>
        <v>0</v>
      </c>
      <c r="N47" s="179">
        <f>SUM(N46:N46)</f>
        <v>0</v>
      </c>
      <c r="O47" s="179">
        <f>SUM(O46:O46)</f>
        <v>0</v>
      </c>
      <c r="P47" s="179">
        <f>SUM(P46:P46)</f>
        <v>0</v>
      </c>
      <c r="Q47" s="179">
        <f>SUM(Q46:Q46)</f>
        <v>0</v>
      </c>
      <c r="R47" s="179">
        <f>SUM(R46:R46)</f>
        <v>0</v>
      </c>
      <c r="S47" s="179">
        <f>SUM(S46:S46)</f>
        <v>0</v>
      </c>
      <c r="T47" s="179">
        <f>SUM(T46:T46)</f>
        <v>0</v>
      </c>
    </row>
    <row r="49" spans="1:20">
      <c r="A49" s="169" t="s">
        <v>160</v>
      </c>
      <c r="B49" s="155" t="s">
        <v>505</v>
      </c>
      <c r="C49" s="155" t="s">
        <v>493</v>
      </c>
      <c r="D49" s="155" t="s">
        <v>502</v>
      </c>
      <c r="E49" s="156">
        <v>45841</v>
      </c>
      <c r="F49" s="155" t="s">
        <v>506</v>
      </c>
      <c r="G49" s="157">
        <v>310000</v>
      </c>
      <c r="H49" s="158">
        <f t="shared" ref="H49" si="15">G49*0.19</f>
        <v>58900</v>
      </c>
      <c r="I49" s="158">
        <f>G49+H49</f>
        <v>368900</v>
      </c>
      <c r="J49" s="158">
        <v>0</v>
      </c>
      <c r="K49" s="158">
        <v>0</v>
      </c>
      <c r="L49" s="158">
        <v>0</v>
      </c>
      <c r="M49" s="159">
        <v>0</v>
      </c>
      <c r="N49" s="158">
        <v>0</v>
      </c>
      <c r="O49" s="158">
        <f>+I49-N49</f>
        <v>368900</v>
      </c>
      <c r="P49" s="156"/>
      <c r="Q49" s="160" t="s">
        <v>507</v>
      </c>
      <c r="R49" s="159">
        <v>368900</v>
      </c>
      <c r="S49" s="158">
        <f>+O49-R49</f>
        <v>0</v>
      </c>
      <c r="T49" s="155" t="s">
        <v>112</v>
      </c>
    </row>
    <row r="50" spans="1:20">
      <c r="A50" s="169"/>
      <c r="B50" s="161"/>
      <c r="C50" s="161"/>
      <c r="D50" s="161"/>
      <c r="E50" s="161"/>
      <c r="F50" s="161"/>
      <c r="G50" s="131">
        <f>SUM(G49:G49)</f>
        <v>310000</v>
      </c>
      <c r="H50" s="179">
        <f>SUM(H49:H49)</f>
        <v>58900</v>
      </c>
      <c r="I50" s="179">
        <f>SUM(I49:I49)</f>
        <v>368900</v>
      </c>
      <c r="J50" s="179">
        <f>SUM(J49:J49)</f>
        <v>0</v>
      </c>
      <c r="K50" s="179">
        <f>SUM(K49:K49)</f>
        <v>0</v>
      </c>
      <c r="L50" s="179">
        <f>SUM(L49:L49)</f>
        <v>0</v>
      </c>
      <c r="M50" s="179">
        <f>SUM(M49:M49)</f>
        <v>0</v>
      </c>
      <c r="N50" s="179">
        <f>SUM(N49:N49)</f>
        <v>0</v>
      </c>
      <c r="O50" s="179">
        <f>SUM(O49:O49)</f>
        <v>368900</v>
      </c>
      <c r="P50" s="179">
        <f>SUM(P49:P49)</f>
        <v>0</v>
      </c>
      <c r="Q50" s="179">
        <f>SUM(Q49:Q49)</f>
        <v>0</v>
      </c>
      <c r="R50" s="179">
        <f>SUM(R49:R49)</f>
        <v>368900</v>
      </c>
      <c r="S50" s="179">
        <f>SUM(S49:S49)</f>
        <v>0</v>
      </c>
      <c r="T50" s="179">
        <f>SUM(T49:T49)</f>
        <v>0</v>
      </c>
    </row>
  </sheetData>
  <mergeCells count="8">
    <mergeCell ref="A46:A47"/>
    <mergeCell ref="A49:A50"/>
    <mergeCell ref="A40:A44"/>
    <mergeCell ref="B2:D2"/>
    <mergeCell ref="A5:A6"/>
    <mergeCell ref="A8:A9"/>
    <mergeCell ref="A11:A14"/>
    <mergeCell ref="A16:A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7864-0A75-4BA1-B8A1-8093D5190ADE}">
  <dimension ref="B1:K10"/>
  <sheetViews>
    <sheetView workbookViewId="0">
      <selection activeCell="F21" sqref="F21"/>
    </sheetView>
  </sheetViews>
  <sheetFormatPr defaultColWidth="10.7109375" defaultRowHeight="14.45"/>
  <cols>
    <col min="3" max="3" width="12.7109375" bestFit="1" customWidth="1"/>
    <col min="4" max="4" width="25.140625" customWidth="1"/>
    <col min="6" max="6" width="89" customWidth="1"/>
    <col min="7" max="7" width="13" customWidth="1"/>
    <col min="9" max="9" width="13" bestFit="1" customWidth="1"/>
    <col min="10" max="10" width="14.140625" customWidth="1"/>
    <col min="11" max="11" width="15.140625" customWidth="1"/>
  </cols>
  <sheetData>
    <row r="1" spans="2:11" ht="15" thickBot="1"/>
    <row r="2" spans="2:11" ht="27" thickBot="1">
      <c r="B2" s="97" t="s">
        <v>1</v>
      </c>
      <c r="C2" s="98" t="s">
        <v>2</v>
      </c>
      <c r="D2" s="98" t="s">
        <v>3</v>
      </c>
      <c r="E2" s="98" t="s">
        <v>4</v>
      </c>
      <c r="F2" s="98" t="s">
        <v>5</v>
      </c>
      <c r="G2" s="99" t="s">
        <v>6</v>
      </c>
      <c r="H2" s="99" t="s">
        <v>7</v>
      </c>
      <c r="I2" s="99" t="s">
        <v>8</v>
      </c>
      <c r="J2" s="100" t="s">
        <v>14</v>
      </c>
      <c r="K2" s="92" t="s">
        <v>18</v>
      </c>
    </row>
    <row r="3" spans="2:11">
      <c r="B3" s="93" t="s">
        <v>105</v>
      </c>
      <c r="C3" s="93" t="s">
        <v>21</v>
      </c>
      <c r="D3" s="94" t="s">
        <v>47</v>
      </c>
      <c r="E3" s="95">
        <v>45000</v>
      </c>
      <c r="F3" s="94" t="s">
        <v>106</v>
      </c>
      <c r="G3" s="96">
        <v>2920000</v>
      </c>
      <c r="H3" s="91">
        <v>554800</v>
      </c>
      <c r="I3" s="91">
        <v>3474800</v>
      </c>
      <c r="J3" s="91">
        <v>3286343.2</v>
      </c>
      <c r="K3" s="91">
        <v>3286343.2</v>
      </c>
    </row>
    <row r="4" spans="2:11">
      <c r="B4" s="6" t="s">
        <v>230</v>
      </c>
      <c r="C4" s="6" t="s">
        <v>21</v>
      </c>
      <c r="D4" s="7" t="s">
        <v>47</v>
      </c>
      <c r="E4" s="8">
        <v>45189</v>
      </c>
      <c r="F4" s="7" t="s">
        <v>147</v>
      </c>
      <c r="G4" s="9">
        <v>2500000</v>
      </c>
      <c r="H4" s="10">
        <v>475000</v>
      </c>
      <c r="I4" s="10">
        <v>2975000</v>
      </c>
      <c r="J4" s="10">
        <v>2975000</v>
      </c>
      <c r="K4" s="10">
        <v>2975000</v>
      </c>
    </row>
    <row r="5" spans="2:11">
      <c r="B5" s="6" t="s">
        <v>260</v>
      </c>
      <c r="C5" s="6" t="s">
        <v>21</v>
      </c>
      <c r="D5" s="7" t="s">
        <v>47</v>
      </c>
      <c r="E5" s="8">
        <v>45240</v>
      </c>
      <c r="F5" s="7" t="s">
        <v>261</v>
      </c>
      <c r="G5" s="49">
        <v>1680000</v>
      </c>
      <c r="H5" s="10">
        <v>319200</v>
      </c>
      <c r="I5" s="10">
        <v>1999200</v>
      </c>
      <c r="J5" s="10">
        <v>1428000</v>
      </c>
      <c r="K5" s="10">
        <v>1428000</v>
      </c>
    </row>
    <row r="6" spans="2:11">
      <c r="B6" s="6" t="s">
        <v>262</v>
      </c>
      <c r="C6" s="6" t="s">
        <v>21</v>
      </c>
      <c r="D6" s="7" t="s">
        <v>47</v>
      </c>
      <c r="E6" s="8">
        <v>45248</v>
      </c>
      <c r="F6" s="7" t="s">
        <v>82</v>
      </c>
      <c r="G6" s="49">
        <v>4000000</v>
      </c>
      <c r="H6" s="10">
        <v>760000</v>
      </c>
      <c r="I6" s="10">
        <v>4760000</v>
      </c>
      <c r="J6" s="10">
        <v>1999200</v>
      </c>
      <c r="K6" s="10">
        <v>1999200</v>
      </c>
    </row>
    <row r="7" spans="2:11">
      <c r="B7" s="81" t="s">
        <v>265</v>
      </c>
      <c r="C7" s="81" t="s">
        <v>21</v>
      </c>
      <c r="D7" s="88" t="s">
        <v>47</v>
      </c>
      <c r="E7" s="89">
        <v>45248</v>
      </c>
      <c r="F7" s="88" t="s">
        <v>82</v>
      </c>
      <c r="G7" s="90">
        <v>2000000</v>
      </c>
      <c r="H7" s="69">
        <v>380000</v>
      </c>
      <c r="I7" s="69">
        <v>2380000</v>
      </c>
      <c r="J7" s="69">
        <v>4760000</v>
      </c>
      <c r="K7" s="69">
        <v>4760000</v>
      </c>
    </row>
    <row r="8" spans="2:11">
      <c r="B8" s="81" t="s">
        <v>271</v>
      </c>
      <c r="C8" s="81" t="s">
        <v>21</v>
      </c>
      <c r="D8" s="88" t="s">
        <v>47</v>
      </c>
      <c r="E8" s="89">
        <v>45248</v>
      </c>
      <c r="F8" s="88" t="s">
        <v>151</v>
      </c>
      <c r="G8" s="90">
        <v>3900000</v>
      </c>
      <c r="H8" s="69">
        <v>741000</v>
      </c>
      <c r="I8" s="69">
        <v>4641000</v>
      </c>
      <c r="J8" s="69">
        <v>714000</v>
      </c>
      <c r="K8" s="69">
        <v>714000</v>
      </c>
    </row>
    <row r="9" spans="2:11">
      <c r="B9" s="6" t="s">
        <v>272</v>
      </c>
      <c r="C9" s="6" t="s">
        <v>21</v>
      </c>
      <c r="D9" s="7" t="s">
        <v>47</v>
      </c>
      <c r="E9" s="8">
        <v>45248</v>
      </c>
      <c r="F9" s="7" t="s">
        <v>151</v>
      </c>
      <c r="G9" s="49">
        <v>390000</v>
      </c>
      <c r="H9" s="10">
        <v>74100</v>
      </c>
      <c r="I9" s="10">
        <v>464100</v>
      </c>
      <c r="J9" s="10">
        <v>4641000</v>
      </c>
      <c r="K9" s="10">
        <v>4641000</v>
      </c>
    </row>
    <row r="10" spans="2:11">
      <c r="I1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AB0E-4342-452F-BF99-6F3EFC8283A2}">
  <sheetPr filterMode="1"/>
  <dimension ref="A1:M141"/>
  <sheetViews>
    <sheetView workbookViewId="0">
      <selection activeCell="F6" sqref="F6"/>
    </sheetView>
  </sheetViews>
  <sheetFormatPr defaultColWidth="10.7109375" defaultRowHeight="14.45"/>
  <cols>
    <col min="6" max="6" width="11.42578125" style="85" customWidth="1"/>
  </cols>
  <sheetData>
    <row r="1" spans="1:13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s="85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191</v>
      </c>
      <c r="L1" t="s">
        <v>518</v>
      </c>
      <c r="M1" t="s">
        <v>519</v>
      </c>
    </row>
    <row r="2" spans="1:13" hidden="1">
      <c r="A2">
        <v>63686</v>
      </c>
      <c r="B2" t="s">
        <v>520</v>
      </c>
      <c r="C2" t="s">
        <v>521</v>
      </c>
      <c r="D2" s="84">
        <v>45212</v>
      </c>
      <c r="E2" t="s">
        <v>522</v>
      </c>
      <c r="F2" s="85" t="s">
        <v>523</v>
      </c>
      <c r="G2" t="s">
        <v>524</v>
      </c>
      <c r="H2" t="s">
        <v>525</v>
      </c>
      <c r="I2" s="84">
        <v>45212</v>
      </c>
      <c r="J2" t="s">
        <v>526</v>
      </c>
      <c r="K2" t="s">
        <v>527</v>
      </c>
      <c r="L2" t="s">
        <v>527</v>
      </c>
      <c r="M2" t="s">
        <v>520</v>
      </c>
    </row>
    <row r="3" spans="1:13" hidden="1">
      <c r="A3">
        <v>62571</v>
      </c>
      <c r="B3" t="s">
        <v>520</v>
      </c>
      <c r="C3" t="s">
        <v>521</v>
      </c>
      <c r="D3" s="84">
        <v>45205</v>
      </c>
      <c r="E3" t="s">
        <v>522</v>
      </c>
      <c r="F3" s="85" t="s">
        <v>528</v>
      </c>
      <c r="G3" t="s">
        <v>524</v>
      </c>
      <c r="H3" t="s">
        <v>525</v>
      </c>
      <c r="I3" s="84">
        <v>45205</v>
      </c>
      <c r="J3" t="s">
        <v>526</v>
      </c>
      <c r="K3" t="s">
        <v>527</v>
      </c>
      <c r="L3" t="s">
        <v>527</v>
      </c>
      <c r="M3" t="s">
        <v>520</v>
      </c>
    </row>
    <row r="4" spans="1:13" hidden="1">
      <c r="A4">
        <v>62373</v>
      </c>
      <c r="B4" t="s">
        <v>520</v>
      </c>
      <c r="C4" t="s">
        <v>521</v>
      </c>
      <c r="D4" s="84">
        <v>45198</v>
      </c>
      <c r="E4" t="s">
        <v>522</v>
      </c>
      <c r="F4" s="85" t="s">
        <v>529</v>
      </c>
      <c r="G4" t="s">
        <v>524</v>
      </c>
      <c r="H4" t="s">
        <v>525</v>
      </c>
      <c r="I4" s="84">
        <v>45198</v>
      </c>
      <c r="J4" t="s">
        <v>526</v>
      </c>
      <c r="K4" t="s">
        <v>210</v>
      </c>
      <c r="L4">
        <v>143958</v>
      </c>
      <c r="M4" t="s">
        <v>520</v>
      </c>
    </row>
    <row r="5" spans="1:13" hidden="1">
      <c r="A5">
        <v>61785</v>
      </c>
      <c r="B5" t="s">
        <v>520</v>
      </c>
      <c r="C5" t="s">
        <v>521</v>
      </c>
      <c r="D5" s="84">
        <v>45191</v>
      </c>
      <c r="E5" t="s">
        <v>522</v>
      </c>
      <c r="F5" s="85" t="s">
        <v>530</v>
      </c>
      <c r="G5" t="s">
        <v>524</v>
      </c>
      <c r="H5" t="s">
        <v>525</v>
      </c>
      <c r="I5" s="84">
        <v>45191</v>
      </c>
      <c r="J5" t="s">
        <v>526</v>
      </c>
      <c r="K5" t="s">
        <v>527</v>
      </c>
      <c r="L5" t="s">
        <v>527</v>
      </c>
      <c r="M5" t="s">
        <v>520</v>
      </c>
    </row>
    <row r="6" spans="1:13" hidden="1">
      <c r="A6">
        <v>769</v>
      </c>
      <c r="B6" t="s">
        <v>520</v>
      </c>
      <c r="C6" t="s">
        <v>531</v>
      </c>
      <c r="D6" s="84">
        <v>45184</v>
      </c>
      <c r="E6" t="s">
        <v>522</v>
      </c>
      <c r="F6" s="85" t="s">
        <v>532</v>
      </c>
      <c r="G6" t="s">
        <v>524</v>
      </c>
      <c r="H6" t="s">
        <v>525</v>
      </c>
      <c r="I6" s="84">
        <v>45184</v>
      </c>
      <c r="J6" t="s">
        <v>533</v>
      </c>
      <c r="K6" t="s">
        <v>172</v>
      </c>
      <c r="L6">
        <v>6646</v>
      </c>
      <c r="M6" t="s">
        <v>520</v>
      </c>
    </row>
    <row r="7" spans="1:13" hidden="1">
      <c r="A7">
        <v>58115</v>
      </c>
      <c r="B7" t="s">
        <v>520</v>
      </c>
      <c r="C7" t="s">
        <v>521</v>
      </c>
      <c r="D7" s="84">
        <v>45149</v>
      </c>
      <c r="E7" t="s">
        <v>522</v>
      </c>
      <c r="F7" s="85">
        <v>370.77600000000001</v>
      </c>
      <c r="G7" t="s">
        <v>524</v>
      </c>
      <c r="H7" t="s">
        <v>525</v>
      </c>
      <c r="I7" s="84">
        <v>45149</v>
      </c>
      <c r="J7" t="s">
        <v>526</v>
      </c>
      <c r="K7" t="s">
        <v>527</v>
      </c>
      <c r="L7">
        <v>149176</v>
      </c>
      <c r="M7" t="s">
        <v>520</v>
      </c>
    </row>
    <row r="8" spans="1:13" hidden="1">
      <c r="A8">
        <v>57684</v>
      </c>
      <c r="B8" t="s">
        <v>520</v>
      </c>
      <c r="C8" t="s">
        <v>521</v>
      </c>
      <c r="D8" s="84">
        <v>45149</v>
      </c>
      <c r="E8" t="s">
        <v>522</v>
      </c>
      <c r="F8" s="85" t="s">
        <v>534</v>
      </c>
      <c r="G8" t="s">
        <v>524</v>
      </c>
      <c r="H8" t="s">
        <v>525</v>
      </c>
      <c r="I8" s="84">
        <v>45149</v>
      </c>
      <c r="J8" t="s">
        <v>526</v>
      </c>
      <c r="K8" t="s">
        <v>527</v>
      </c>
      <c r="L8" t="s">
        <v>527</v>
      </c>
      <c r="M8" t="s">
        <v>520</v>
      </c>
    </row>
    <row r="9" spans="1:13" hidden="1">
      <c r="A9">
        <v>57447</v>
      </c>
      <c r="B9" t="s">
        <v>520</v>
      </c>
      <c r="C9" t="s">
        <v>521</v>
      </c>
      <c r="D9" s="84">
        <v>45142</v>
      </c>
      <c r="E9" t="s">
        <v>522</v>
      </c>
      <c r="F9" s="85" t="s">
        <v>535</v>
      </c>
      <c r="G9" t="s">
        <v>524</v>
      </c>
      <c r="H9" t="s">
        <v>525</v>
      </c>
      <c r="I9" s="84">
        <v>45142</v>
      </c>
      <c r="J9" t="s">
        <v>526</v>
      </c>
      <c r="K9" t="s">
        <v>527</v>
      </c>
      <c r="L9">
        <v>140222</v>
      </c>
      <c r="M9" t="s">
        <v>520</v>
      </c>
    </row>
    <row r="10" spans="1:13" hidden="1">
      <c r="A10">
        <v>56963</v>
      </c>
      <c r="B10" t="s">
        <v>520</v>
      </c>
      <c r="C10" t="s">
        <v>521</v>
      </c>
      <c r="D10" s="84">
        <v>45135</v>
      </c>
      <c r="E10" t="s">
        <v>522</v>
      </c>
      <c r="F10" s="85" t="s">
        <v>536</v>
      </c>
      <c r="G10" t="s">
        <v>524</v>
      </c>
      <c r="H10" t="s">
        <v>537</v>
      </c>
      <c r="I10" s="84">
        <v>45135</v>
      </c>
      <c r="J10" t="s">
        <v>526</v>
      </c>
      <c r="K10" t="s">
        <v>527</v>
      </c>
      <c r="L10" t="s">
        <v>527</v>
      </c>
      <c r="M10" t="s">
        <v>520</v>
      </c>
    </row>
    <row r="11" spans="1:13" hidden="1">
      <c r="A11">
        <v>57205</v>
      </c>
      <c r="B11" t="s">
        <v>520</v>
      </c>
      <c r="C11" t="s">
        <v>521</v>
      </c>
      <c r="D11" s="84">
        <v>45135</v>
      </c>
      <c r="E11" t="s">
        <v>522</v>
      </c>
      <c r="F11" s="85" t="s">
        <v>536</v>
      </c>
      <c r="G11" t="s">
        <v>524</v>
      </c>
      <c r="H11" t="s">
        <v>525</v>
      </c>
      <c r="I11" s="84">
        <v>45135</v>
      </c>
      <c r="J11" t="s">
        <v>526</v>
      </c>
      <c r="K11" t="s">
        <v>527</v>
      </c>
      <c r="L11" t="s">
        <v>527</v>
      </c>
      <c r="M11" t="s">
        <v>520</v>
      </c>
    </row>
    <row r="12" spans="1:13" hidden="1">
      <c r="A12">
        <v>5516</v>
      </c>
      <c r="B12" t="s">
        <v>520</v>
      </c>
      <c r="C12" t="s">
        <v>521</v>
      </c>
      <c r="D12" s="84">
        <v>45121</v>
      </c>
      <c r="E12" t="s">
        <v>522</v>
      </c>
      <c r="F12" s="85" t="s">
        <v>538</v>
      </c>
      <c r="G12" t="s">
        <v>524</v>
      </c>
      <c r="H12" t="s">
        <v>525</v>
      </c>
      <c r="I12" s="84">
        <v>45121</v>
      </c>
      <c r="J12" t="s">
        <v>539</v>
      </c>
      <c r="K12" t="s">
        <v>527</v>
      </c>
      <c r="L12">
        <v>125745</v>
      </c>
      <c r="M12" t="s">
        <v>520</v>
      </c>
    </row>
    <row r="13" spans="1:13" hidden="1">
      <c r="A13">
        <v>4912</v>
      </c>
      <c r="B13" t="s">
        <v>520</v>
      </c>
      <c r="C13" t="s">
        <v>521</v>
      </c>
      <c r="D13" s="84">
        <v>45114</v>
      </c>
      <c r="E13" t="s">
        <v>522</v>
      </c>
      <c r="F13" s="85" t="s">
        <v>540</v>
      </c>
      <c r="G13" t="s">
        <v>524</v>
      </c>
      <c r="H13" t="s">
        <v>525</v>
      </c>
      <c r="I13" s="84">
        <v>45114</v>
      </c>
      <c r="J13" t="s">
        <v>539</v>
      </c>
      <c r="K13" t="s">
        <v>122</v>
      </c>
      <c r="L13">
        <v>139109</v>
      </c>
      <c r="M13" t="s">
        <v>520</v>
      </c>
    </row>
    <row r="14" spans="1:13" hidden="1">
      <c r="A14">
        <v>164404</v>
      </c>
      <c r="B14" t="s">
        <v>520</v>
      </c>
      <c r="C14" t="s">
        <v>541</v>
      </c>
      <c r="D14" s="84">
        <v>45112</v>
      </c>
      <c r="E14" t="s">
        <v>522</v>
      </c>
      <c r="F14" s="85">
        <v>420.56599999999997</v>
      </c>
      <c r="G14" t="s">
        <v>524</v>
      </c>
      <c r="H14" t="s">
        <v>525</v>
      </c>
      <c r="I14" s="84">
        <v>45112</v>
      </c>
      <c r="J14" t="s">
        <v>542</v>
      </c>
      <c r="K14" t="s">
        <v>138</v>
      </c>
      <c r="L14">
        <v>41883</v>
      </c>
      <c r="M14" t="s">
        <v>520</v>
      </c>
    </row>
    <row r="15" spans="1:13" hidden="1">
      <c r="A15">
        <v>16704</v>
      </c>
      <c r="B15" t="s">
        <v>520</v>
      </c>
      <c r="C15" t="s">
        <v>543</v>
      </c>
      <c r="D15" s="84">
        <v>45112</v>
      </c>
      <c r="E15" t="s">
        <v>522</v>
      </c>
      <c r="F15" s="85" t="s">
        <v>544</v>
      </c>
      <c r="G15" t="s">
        <v>524</v>
      </c>
      <c r="H15" t="s">
        <v>525</v>
      </c>
      <c r="I15" s="84">
        <v>45112</v>
      </c>
      <c r="J15" t="s">
        <v>545</v>
      </c>
      <c r="K15" t="s">
        <v>144</v>
      </c>
      <c r="L15">
        <v>91471</v>
      </c>
      <c r="M15" t="s">
        <v>520</v>
      </c>
    </row>
    <row r="16" spans="1:13" hidden="1">
      <c r="A16">
        <v>54623</v>
      </c>
      <c r="B16" t="s">
        <v>520</v>
      </c>
      <c r="C16" t="s">
        <v>521</v>
      </c>
      <c r="D16" s="84">
        <v>45100</v>
      </c>
      <c r="E16" t="s">
        <v>522</v>
      </c>
      <c r="F16" s="85" t="s">
        <v>546</v>
      </c>
      <c r="G16" t="s">
        <v>524</v>
      </c>
      <c r="H16" t="s">
        <v>525</v>
      </c>
      <c r="I16" s="84">
        <v>45100</v>
      </c>
      <c r="J16" t="s">
        <v>526</v>
      </c>
      <c r="K16" t="s">
        <v>136</v>
      </c>
      <c r="L16">
        <v>138021</v>
      </c>
      <c r="M16" t="s">
        <v>520</v>
      </c>
    </row>
    <row r="17" spans="1:13" hidden="1">
      <c r="A17">
        <v>52910</v>
      </c>
      <c r="B17" t="s">
        <v>520</v>
      </c>
      <c r="C17" t="s">
        <v>521</v>
      </c>
      <c r="D17" s="84">
        <v>45086</v>
      </c>
      <c r="E17" t="s">
        <v>522</v>
      </c>
      <c r="F17" s="85" t="s">
        <v>547</v>
      </c>
      <c r="G17" t="s">
        <v>524</v>
      </c>
      <c r="H17" t="s">
        <v>525</v>
      </c>
      <c r="I17" s="84">
        <v>45086</v>
      </c>
      <c r="J17" t="s">
        <v>526</v>
      </c>
      <c r="K17" t="s">
        <v>527</v>
      </c>
      <c r="L17" t="s">
        <v>527</v>
      </c>
      <c r="M17" t="s">
        <v>520</v>
      </c>
    </row>
    <row r="18" spans="1:13" hidden="1">
      <c r="A18">
        <v>52107</v>
      </c>
      <c r="B18" t="s">
        <v>520</v>
      </c>
      <c r="C18" t="s">
        <v>521</v>
      </c>
      <c r="D18" s="84">
        <v>45072</v>
      </c>
      <c r="E18" t="s">
        <v>522</v>
      </c>
      <c r="F18" s="85" t="s">
        <v>548</v>
      </c>
      <c r="G18" t="s">
        <v>524</v>
      </c>
      <c r="H18" t="s">
        <v>525</v>
      </c>
      <c r="I18" s="84">
        <v>45072</v>
      </c>
      <c r="J18" t="s">
        <v>526</v>
      </c>
      <c r="K18" t="s">
        <v>527</v>
      </c>
      <c r="L18" t="s">
        <v>527</v>
      </c>
      <c r="M18" t="s">
        <v>520</v>
      </c>
    </row>
    <row r="19" spans="1:13" hidden="1">
      <c r="A19">
        <v>3963</v>
      </c>
      <c r="B19" t="s">
        <v>520</v>
      </c>
      <c r="C19" t="s">
        <v>521</v>
      </c>
      <c r="D19" s="84">
        <v>45065</v>
      </c>
      <c r="E19" t="s">
        <v>522</v>
      </c>
      <c r="F19" s="85" t="s">
        <v>549</v>
      </c>
      <c r="G19" t="s">
        <v>524</v>
      </c>
      <c r="H19" t="s">
        <v>525</v>
      </c>
      <c r="I19" s="84">
        <v>45065</v>
      </c>
      <c r="J19" t="s">
        <v>539</v>
      </c>
      <c r="K19" t="s">
        <v>85</v>
      </c>
      <c r="L19">
        <v>138110</v>
      </c>
      <c r="M19" t="s">
        <v>520</v>
      </c>
    </row>
    <row r="20" spans="1:13" hidden="1">
      <c r="A20">
        <v>50697</v>
      </c>
      <c r="B20" t="s">
        <v>520</v>
      </c>
      <c r="C20" t="s">
        <v>521</v>
      </c>
      <c r="D20" s="84">
        <v>45044</v>
      </c>
      <c r="E20" t="s">
        <v>522</v>
      </c>
      <c r="F20" s="85" t="s">
        <v>550</v>
      </c>
      <c r="G20" t="s">
        <v>524</v>
      </c>
      <c r="H20" t="s">
        <v>525</v>
      </c>
      <c r="I20" s="84">
        <v>45044</v>
      </c>
      <c r="J20" t="s">
        <v>526</v>
      </c>
      <c r="K20" t="s">
        <v>91</v>
      </c>
      <c r="L20">
        <v>139235</v>
      </c>
      <c r="M20" t="s">
        <v>520</v>
      </c>
    </row>
    <row r="21" spans="1:13" hidden="1">
      <c r="A21">
        <v>3208</v>
      </c>
      <c r="B21" t="s">
        <v>520</v>
      </c>
      <c r="C21" t="s">
        <v>521</v>
      </c>
      <c r="D21" s="84">
        <v>45037</v>
      </c>
      <c r="E21" t="s">
        <v>522</v>
      </c>
      <c r="F21" s="85">
        <v>142.89099999999999</v>
      </c>
      <c r="G21" t="s">
        <v>524</v>
      </c>
      <c r="H21" t="s">
        <v>525</v>
      </c>
      <c r="I21" s="84">
        <v>45037</v>
      </c>
      <c r="J21" t="s">
        <v>539</v>
      </c>
      <c r="K21" t="s">
        <v>527</v>
      </c>
      <c r="L21">
        <v>136848</v>
      </c>
      <c r="M21" t="s">
        <v>520</v>
      </c>
    </row>
    <row r="22" spans="1:13" hidden="1">
      <c r="A22">
        <v>49633</v>
      </c>
      <c r="B22" t="s">
        <v>520</v>
      </c>
      <c r="C22" t="s">
        <v>521</v>
      </c>
      <c r="D22" s="84">
        <v>45030</v>
      </c>
      <c r="E22" t="s">
        <v>522</v>
      </c>
      <c r="F22" s="85" t="s">
        <v>551</v>
      </c>
      <c r="G22" t="s">
        <v>524</v>
      </c>
      <c r="H22" t="s">
        <v>525</v>
      </c>
      <c r="I22" s="84">
        <v>45030</v>
      </c>
      <c r="J22" t="s">
        <v>526</v>
      </c>
      <c r="K22" t="s">
        <v>527</v>
      </c>
      <c r="L22" t="s">
        <v>527</v>
      </c>
      <c r="M22" t="s">
        <v>520</v>
      </c>
    </row>
    <row r="23" spans="1:13" hidden="1">
      <c r="A23">
        <v>48766</v>
      </c>
      <c r="B23" t="s">
        <v>520</v>
      </c>
      <c r="C23" t="s">
        <v>521</v>
      </c>
      <c r="D23" s="84">
        <v>45026</v>
      </c>
      <c r="E23" t="s">
        <v>522</v>
      </c>
      <c r="F23" s="85" t="s">
        <v>552</v>
      </c>
      <c r="G23" t="s">
        <v>524</v>
      </c>
      <c r="H23" t="s">
        <v>525</v>
      </c>
      <c r="I23" s="84">
        <v>45026</v>
      </c>
      <c r="J23" t="s">
        <v>526</v>
      </c>
      <c r="K23" t="s">
        <v>527</v>
      </c>
      <c r="L23" t="s">
        <v>527</v>
      </c>
      <c r="M23" t="s">
        <v>520</v>
      </c>
    </row>
    <row r="24" spans="1:13">
      <c r="A24">
        <v>2960</v>
      </c>
      <c r="B24" t="s">
        <v>520</v>
      </c>
      <c r="C24" t="s">
        <v>521</v>
      </c>
      <c r="D24" s="84">
        <v>45016</v>
      </c>
      <c r="E24" t="s">
        <v>522</v>
      </c>
      <c r="F24" s="85" t="s">
        <v>553</v>
      </c>
      <c r="G24" t="s">
        <v>524</v>
      </c>
      <c r="H24" t="s">
        <v>525</v>
      </c>
      <c r="I24" s="84">
        <v>45016</v>
      </c>
      <c r="J24" t="s">
        <v>539</v>
      </c>
      <c r="K24" t="s">
        <v>73</v>
      </c>
      <c r="L24">
        <v>136735</v>
      </c>
      <c r="M24" t="s">
        <v>520</v>
      </c>
    </row>
    <row r="25" spans="1:13">
      <c r="A25">
        <v>44809</v>
      </c>
      <c r="B25" t="s">
        <v>520</v>
      </c>
      <c r="C25" t="s">
        <v>521</v>
      </c>
      <c r="D25" s="84">
        <v>45009</v>
      </c>
      <c r="E25" t="s">
        <v>522</v>
      </c>
      <c r="F25" s="85" t="s">
        <v>554</v>
      </c>
      <c r="G25" t="s">
        <v>524</v>
      </c>
      <c r="H25" t="s">
        <v>525</v>
      </c>
      <c r="I25" s="84">
        <v>45009</v>
      </c>
      <c r="J25" t="s">
        <v>539</v>
      </c>
      <c r="K25" t="s">
        <v>527</v>
      </c>
      <c r="L25" t="s">
        <v>527</v>
      </c>
      <c r="M25" t="s">
        <v>520</v>
      </c>
    </row>
    <row r="26" spans="1:13">
      <c r="A26">
        <v>3048537</v>
      </c>
      <c r="B26" t="s">
        <v>520</v>
      </c>
      <c r="C26" t="s">
        <v>521</v>
      </c>
      <c r="D26" s="84">
        <v>45002</v>
      </c>
      <c r="E26" t="s">
        <v>522</v>
      </c>
      <c r="F26" s="85" t="s">
        <v>555</v>
      </c>
      <c r="G26" t="s">
        <v>524</v>
      </c>
      <c r="H26" t="s">
        <v>525</v>
      </c>
      <c r="I26" s="84">
        <v>45002</v>
      </c>
      <c r="J26" t="s">
        <v>526</v>
      </c>
      <c r="K26" t="s">
        <v>527</v>
      </c>
      <c r="L26" t="s">
        <v>527</v>
      </c>
      <c r="M26" t="s">
        <v>520</v>
      </c>
    </row>
    <row r="27" spans="1:13">
      <c r="A27">
        <v>3047903</v>
      </c>
      <c r="B27" t="s">
        <v>520</v>
      </c>
      <c r="C27" t="s">
        <v>521</v>
      </c>
      <c r="D27" s="84">
        <v>44995</v>
      </c>
      <c r="E27" t="s">
        <v>522</v>
      </c>
      <c r="F27" s="85" t="s">
        <v>556</v>
      </c>
      <c r="G27" t="s">
        <v>524</v>
      </c>
      <c r="H27" t="s">
        <v>525</v>
      </c>
      <c r="I27" s="84">
        <v>44995</v>
      </c>
      <c r="J27" t="s">
        <v>526</v>
      </c>
      <c r="K27" t="s">
        <v>68</v>
      </c>
      <c r="L27">
        <v>134805</v>
      </c>
      <c r="M27" t="s">
        <v>520</v>
      </c>
    </row>
    <row r="28" spans="1:13">
      <c r="A28">
        <v>44465</v>
      </c>
      <c r="B28" t="s">
        <v>520</v>
      </c>
      <c r="C28" t="s">
        <v>521</v>
      </c>
      <c r="D28" s="84">
        <v>44988</v>
      </c>
      <c r="E28" t="s">
        <v>522</v>
      </c>
      <c r="F28" s="85" t="s">
        <v>557</v>
      </c>
      <c r="G28" t="s">
        <v>524</v>
      </c>
      <c r="H28" t="s">
        <v>525</v>
      </c>
      <c r="I28" s="84">
        <v>44988</v>
      </c>
      <c r="J28" t="s">
        <v>539</v>
      </c>
      <c r="K28" t="s">
        <v>527</v>
      </c>
      <c r="L28" t="s">
        <v>527</v>
      </c>
      <c r="M28" t="s">
        <v>520</v>
      </c>
    </row>
    <row r="29" spans="1:13" hidden="1">
      <c r="A29">
        <v>3046504</v>
      </c>
      <c r="B29" t="s">
        <v>520</v>
      </c>
      <c r="C29" t="s">
        <v>521</v>
      </c>
      <c r="D29" s="84">
        <v>44967</v>
      </c>
      <c r="E29" t="s">
        <v>522</v>
      </c>
      <c r="F29" s="85">
        <v>820.80399999999997</v>
      </c>
      <c r="G29" t="s">
        <v>524</v>
      </c>
      <c r="H29" t="s">
        <v>525</v>
      </c>
      <c r="I29" s="84">
        <v>44967</v>
      </c>
      <c r="J29" t="s">
        <v>526</v>
      </c>
      <c r="K29" t="s">
        <v>527</v>
      </c>
      <c r="L29" t="s">
        <v>527</v>
      </c>
      <c r="M29" t="s">
        <v>520</v>
      </c>
    </row>
    <row r="30" spans="1:13" hidden="1">
      <c r="A30">
        <v>3045627</v>
      </c>
      <c r="B30" t="s">
        <v>520</v>
      </c>
      <c r="C30" t="s">
        <v>521</v>
      </c>
      <c r="D30" s="84">
        <v>44953</v>
      </c>
      <c r="E30" t="s">
        <v>522</v>
      </c>
      <c r="F30" s="85" t="s">
        <v>558</v>
      </c>
      <c r="G30" t="s">
        <v>524</v>
      </c>
      <c r="H30" t="s">
        <v>525</v>
      </c>
      <c r="I30" s="84">
        <v>44953</v>
      </c>
      <c r="J30" t="s">
        <v>526</v>
      </c>
      <c r="K30" t="s">
        <v>527</v>
      </c>
      <c r="L30" t="s">
        <v>527</v>
      </c>
      <c r="M30" t="s">
        <v>520</v>
      </c>
    </row>
    <row r="31" spans="1:13" hidden="1">
      <c r="A31">
        <v>43535</v>
      </c>
      <c r="B31" t="s">
        <v>520</v>
      </c>
      <c r="C31" t="s">
        <v>521</v>
      </c>
      <c r="D31" s="84">
        <v>44946</v>
      </c>
      <c r="E31" t="s">
        <v>522</v>
      </c>
      <c r="F31" s="85" t="s">
        <v>559</v>
      </c>
      <c r="G31" t="s">
        <v>524</v>
      </c>
      <c r="H31" t="s">
        <v>525</v>
      </c>
      <c r="I31" s="84">
        <v>44946</v>
      </c>
      <c r="J31" t="s">
        <v>539</v>
      </c>
      <c r="K31" t="s">
        <v>527</v>
      </c>
      <c r="L31">
        <v>130811</v>
      </c>
      <c r="M31" t="s">
        <v>520</v>
      </c>
    </row>
    <row r="32" spans="1:13" hidden="1">
      <c r="A32">
        <v>42977</v>
      </c>
      <c r="B32" t="s">
        <v>520</v>
      </c>
      <c r="C32" t="s">
        <v>521</v>
      </c>
      <c r="D32" s="84">
        <v>44939</v>
      </c>
      <c r="E32" t="s">
        <v>522</v>
      </c>
      <c r="F32" s="85" t="s">
        <v>560</v>
      </c>
      <c r="G32" t="s">
        <v>524</v>
      </c>
      <c r="H32" t="s">
        <v>525</v>
      </c>
      <c r="I32" s="84">
        <v>44939</v>
      </c>
      <c r="J32" t="s">
        <v>539</v>
      </c>
      <c r="K32" t="s">
        <v>527</v>
      </c>
      <c r="L32" t="s">
        <v>527</v>
      </c>
      <c r="M32" t="s">
        <v>520</v>
      </c>
    </row>
    <row r="33" spans="1:13" hidden="1">
      <c r="A33">
        <v>3044964</v>
      </c>
      <c r="B33" t="s">
        <v>520</v>
      </c>
      <c r="C33" t="s">
        <v>521</v>
      </c>
      <c r="D33" s="84">
        <v>44932</v>
      </c>
      <c r="E33" t="s">
        <v>522</v>
      </c>
      <c r="F33" s="85" t="s">
        <v>561</v>
      </c>
      <c r="G33" t="s">
        <v>524</v>
      </c>
      <c r="H33" t="s">
        <v>525</v>
      </c>
      <c r="I33" s="84">
        <v>44932</v>
      </c>
      <c r="J33" t="s">
        <v>526</v>
      </c>
      <c r="K33" t="s">
        <v>27</v>
      </c>
      <c r="L33">
        <v>117492</v>
      </c>
      <c r="M33" t="s">
        <v>520</v>
      </c>
    </row>
    <row r="34" spans="1:13" hidden="1">
      <c r="A34">
        <v>30</v>
      </c>
      <c r="D34" s="84">
        <v>44925</v>
      </c>
      <c r="E34" t="s">
        <v>522</v>
      </c>
      <c r="F34" s="85">
        <v>0</v>
      </c>
      <c r="G34" t="s">
        <v>562</v>
      </c>
      <c r="H34" t="s">
        <v>525</v>
      </c>
      <c r="I34" s="84">
        <v>44925</v>
      </c>
      <c r="J34" t="s">
        <v>563</v>
      </c>
      <c r="K34" t="s">
        <v>527</v>
      </c>
      <c r="M34" t="s">
        <v>520</v>
      </c>
    </row>
    <row r="35" spans="1:13" hidden="1">
      <c r="A35">
        <v>3044307</v>
      </c>
      <c r="B35" t="s">
        <v>520</v>
      </c>
      <c r="C35" t="s">
        <v>521</v>
      </c>
      <c r="D35" s="84">
        <v>44918</v>
      </c>
      <c r="E35" t="s">
        <v>522</v>
      </c>
      <c r="F35" s="85" t="s">
        <v>564</v>
      </c>
      <c r="G35" t="s">
        <v>524</v>
      </c>
      <c r="H35" t="s">
        <v>525</v>
      </c>
      <c r="I35" s="84">
        <v>44918</v>
      </c>
      <c r="J35" t="s">
        <v>526</v>
      </c>
      <c r="K35" t="s">
        <v>527</v>
      </c>
      <c r="L35" t="s">
        <v>527</v>
      </c>
      <c r="M35" t="s">
        <v>520</v>
      </c>
    </row>
    <row r="36" spans="1:13" hidden="1">
      <c r="A36">
        <v>10069</v>
      </c>
      <c r="B36" t="s">
        <v>520</v>
      </c>
      <c r="C36" t="s">
        <v>521</v>
      </c>
      <c r="D36" s="84">
        <v>44915</v>
      </c>
      <c r="E36" t="s">
        <v>522</v>
      </c>
      <c r="F36" s="85" t="s">
        <v>565</v>
      </c>
      <c r="G36" t="s">
        <v>524</v>
      </c>
      <c r="H36" t="s">
        <v>525</v>
      </c>
      <c r="I36" s="84">
        <v>44915</v>
      </c>
      <c r="J36" t="s">
        <v>526</v>
      </c>
      <c r="K36" t="s">
        <v>566</v>
      </c>
      <c r="M36" t="s">
        <v>520</v>
      </c>
    </row>
    <row r="37" spans="1:13" hidden="1">
      <c r="A37">
        <v>10633</v>
      </c>
      <c r="B37" t="s">
        <v>520</v>
      </c>
      <c r="C37" t="s">
        <v>521</v>
      </c>
      <c r="D37" s="84">
        <v>44911</v>
      </c>
      <c r="E37" t="s">
        <v>522</v>
      </c>
      <c r="F37" s="85" t="s">
        <v>567</v>
      </c>
      <c r="G37" t="s">
        <v>524</v>
      </c>
      <c r="H37" t="s">
        <v>525</v>
      </c>
      <c r="I37" s="84">
        <v>44911</v>
      </c>
      <c r="J37" t="s">
        <v>526</v>
      </c>
      <c r="K37" t="s">
        <v>568</v>
      </c>
      <c r="M37" t="s">
        <v>520</v>
      </c>
    </row>
    <row r="38" spans="1:13" hidden="1">
      <c r="A38">
        <v>48011</v>
      </c>
      <c r="B38" t="s">
        <v>520</v>
      </c>
      <c r="C38" t="s">
        <v>521</v>
      </c>
      <c r="D38" s="84">
        <v>44890</v>
      </c>
      <c r="E38" t="s">
        <v>522</v>
      </c>
      <c r="F38" s="85" t="s">
        <v>569</v>
      </c>
      <c r="G38" t="s">
        <v>524</v>
      </c>
      <c r="H38" t="s">
        <v>525</v>
      </c>
      <c r="I38" s="84">
        <v>44890</v>
      </c>
      <c r="J38" t="s">
        <v>526</v>
      </c>
      <c r="K38" t="s">
        <v>570</v>
      </c>
      <c r="L38">
        <v>126298</v>
      </c>
      <c r="M38" t="s">
        <v>520</v>
      </c>
    </row>
    <row r="39" spans="1:13" hidden="1">
      <c r="A39">
        <v>2659</v>
      </c>
      <c r="B39" t="s">
        <v>520</v>
      </c>
      <c r="C39" t="s">
        <v>521</v>
      </c>
      <c r="D39" s="84">
        <v>44869</v>
      </c>
      <c r="E39" t="s">
        <v>522</v>
      </c>
      <c r="F39" s="85" t="s">
        <v>571</v>
      </c>
      <c r="G39" t="s">
        <v>524</v>
      </c>
      <c r="H39" t="s">
        <v>525</v>
      </c>
      <c r="I39" s="84">
        <v>44869</v>
      </c>
      <c r="J39" t="s">
        <v>539</v>
      </c>
      <c r="K39" t="s">
        <v>527</v>
      </c>
      <c r="L39" t="s">
        <v>527</v>
      </c>
      <c r="M39" t="s">
        <v>520</v>
      </c>
    </row>
    <row r="40" spans="1:13" hidden="1">
      <c r="A40">
        <v>46434</v>
      </c>
      <c r="B40" t="s">
        <v>520</v>
      </c>
      <c r="C40" t="s">
        <v>521</v>
      </c>
      <c r="D40" s="84">
        <v>44862</v>
      </c>
      <c r="E40" t="s">
        <v>522</v>
      </c>
      <c r="F40" s="85" t="s">
        <v>572</v>
      </c>
      <c r="G40" t="s">
        <v>524</v>
      </c>
      <c r="H40" t="s">
        <v>525</v>
      </c>
      <c r="I40" s="84">
        <v>44862</v>
      </c>
      <c r="J40" t="s">
        <v>526</v>
      </c>
      <c r="K40" t="s">
        <v>527</v>
      </c>
      <c r="L40" t="s">
        <v>527</v>
      </c>
      <c r="M40" t="s">
        <v>520</v>
      </c>
    </row>
    <row r="41" spans="1:13" hidden="1">
      <c r="A41">
        <v>12156</v>
      </c>
      <c r="B41" t="s">
        <v>520</v>
      </c>
      <c r="C41" t="s">
        <v>543</v>
      </c>
      <c r="D41" s="84">
        <v>44860</v>
      </c>
      <c r="E41" t="s">
        <v>522</v>
      </c>
      <c r="F41" s="85" t="s">
        <v>573</v>
      </c>
      <c r="G41" t="s">
        <v>524</v>
      </c>
      <c r="H41" t="s">
        <v>525</v>
      </c>
      <c r="I41" s="84">
        <v>44860</v>
      </c>
      <c r="J41" t="s">
        <v>545</v>
      </c>
      <c r="K41" t="s">
        <v>574</v>
      </c>
      <c r="L41">
        <v>77553</v>
      </c>
      <c r="M41" t="s">
        <v>520</v>
      </c>
    </row>
    <row r="42" spans="1:13" hidden="1">
      <c r="A42">
        <v>46149</v>
      </c>
      <c r="B42" t="s">
        <v>520</v>
      </c>
      <c r="C42" t="s">
        <v>521</v>
      </c>
      <c r="D42" s="84">
        <v>44855</v>
      </c>
      <c r="E42" t="s">
        <v>522</v>
      </c>
      <c r="F42" s="85" t="s">
        <v>572</v>
      </c>
      <c r="G42" t="s">
        <v>524</v>
      </c>
      <c r="H42" t="s">
        <v>537</v>
      </c>
      <c r="I42" s="84">
        <v>44858</v>
      </c>
      <c r="J42" t="s">
        <v>526</v>
      </c>
      <c r="K42" t="s">
        <v>527</v>
      </c>
      <c r="L42" t="s">
        <v>527</v>
      </c>
      <c r="M42" t="s">
        <v>520</v>
      </c>
    </row>
    <row r="43" spans="1:13" hidden="1">
      <c r="A43">
        <v>45636</v>
      </c>
      <c r="B43" t="s">
        <v>520</v>
      </c>
      <c r="C43" t="s">
        <v>521</v>
      </c>
      <c r="D43" s="84">
        <v>44852</v>
      </c>
      <c r="E43" t="s">
        <v>522</v>
      </c>
      <c r="F43" s="85" t="s">
        <v>575</v>
      </c>
      <c r="G43" t="s">
        <v>524</v>
      </c>
      <c r="H43" t="s">
        <v>525</v>
      </c>
      <c r="I43" s="84">
        <v>44852</v>
      </c>
      <c r="J43" t="s">
        <v>526</v>
      </c>
      <c r="K43" t="s">
        <v>527</v>
      </c>
      <c r="L43">
        <v>123048</v>
      </c>
      <c r="M43" t="s">
        <v>520</v>
      </c>
    </row>
    <row r="44" spans="1:13" hidden="1">
      <c r="A44">
        <v>45319</v>
      </c>
      <c r="B44" t="s">
        <v>520</v>
      </c>
      <c r="C44" t="s">
        <v>521</v>
      </c>
      <c r="D44" s="84">
        <v>44848</v>
      </c>
      <c r="E44" t="s">
        <v>522</v>
      </c>
      <c r="F44" s="85" t="s">
        <v>575</v>
      </c>
      <c r="G44" t="s">
        <v>524</v>
      </c>
      <c r="H44" t="s">
        <v>537</v>
      </c>
      <c r="I44" s="84">
        <v>44852</v>
      </c>
      <c r="J44" t="s">
        <v>526</v>
      </c>
      <c r="K44" t="s">
        <v>527</v>
      </c>
      <c r="L44">
        <v>123048</v>
      </c>
      <c r="M44" t="s">
        <v>520</v>
      </c>
    </row>
    <row r="45" spans="1:13" hidden="1">
      <c r="A45">
        <v>44143</v>
      </c>
      <c r="B45" t="s">
        <v>520</v>
      </c>
      <c r="C45" t="s">
        <v>521</v>
      </c>
      <c r="D45" s="84">
        <v>44834</v>
      </c>
      <c r="E45" t="s">
        <v>522</v>
      </c>
      <c r="F45" s="85" t="s">
        <v>576</v>
      </c>
      <c r="G45" t="s">
        <v>524</v>
      </c>
      <c r="H45" t="s">
        <v>525</v>
      </c>
      <c r="I45" s="84">
        <v>44834</v>
      </c>
      <c r="J45" t="s">
        <v>526</v>
      </c>
      <c r="K45" t="s">
        <v>527</v>
      </c>
      <c r="L45" t="s">
        <v>527</v>
      </c>
      <c r="M45" t="s">
        <v>520</v>
      </c>
    </row>
    <row r="46" spans="1:13" hidden="1">
      <c r="A46">
        <v>43866</v>
      </c>
      <c r="B46" t="s">
        <v>520</v>
      </c>
      <c r="C46" t="s">
        <v>521</v>
      </c>
      <c r="D46" s="84">
        <v>44827</v>
      </c>
      <c r="E46" t="s">
        <v>522</v>
      </c>
      <c r="F46" s="85" t="s">
        <v>577</v>
      </c>
      <c r="G46" t="s">
        <v>524</v>
      </c>
      <c r="H46" t="s">
        <v>525</v>
      </c>
      <c r="I46" s="84">
        <v>44827</v>
      </c>
      <c r="J46" t="s">
        <v>526</v>
      </c>
      <c r="K46" t="s">
        <v>578</v>
      </c>
      <c r="L46">
        <v>123553</v>
      </c>
      <c r="M46" t="s">
        <v>520</v>
      </c>
    </row>
    <row r="47" spans="1:13" hidden="1">
      <c r="A47">
        <v>43353</v>
      </c>
      <c r="B47" t="s">
        <v>520</v>
      </c>
      <c r="C47" t="s">
        <v>521</v>
      </c>
      <c r="D47" s="84">
        <v>44820</v>
      </c>
      <c r="E47" t="s">
        <v>522</v>
      </c>
      <c r="F47" s="85" t="s">
        <v>579</v>
      </c>
      <c r="G47" t="s">
        <v>524</v>
      </c>
      <c r="H47" t="s">
        <v>525</v>
      </c>
      <c r="I47" s="84">
        <v>44820</v>
      </c>
      <c r="J47" t="s">
        <v>526</v>
      </c>
      <c r="K47" t="s">
        <v>527</v>
      </c>
      <c r="L47" t="s">
        <v>527</v>
      </c>
      <c r="M47" t="s">
        <v>520</v>
      </c>
    </row>
    <row r="48" spans="1:13" hidden="1">
      <c r="A48">
        <v>10475</v>
      </c>
      <c r="B48" t="s">
        <v>520</v>
      </c>
      <c r="C48" t="s">
        <v>543</v>
      </c>
      <c r="D48" s="84">
        <v>44818</v>
      </c>
      <c r="E48" t="s">
        <v>522</v>
      </c>
      <c r="F48" s="85" t="s">
        <v>580</v>
      </c>
      <c r="G48" t="s">
        <v>524</v>
      </c>
      <c r="H48" t="s">
        <v>525</v>
      </c>
      <c r="I48" s="84">
        <v>44818</v>
      </c>
      <c r="J48" t="s">
        <v>545</v>
      </c>
      <c r="K48" t="s">
        <v>581</v>
      </c>
      <c r="L48">
        <v>72111</v>
      </c>
      <c r="M48" t="s">
        <v>520</v>
      </c>
    </row>
    <row r="49" spans="1:13" hidden="1">
      <c r="A49">
        <v>42742</v>
      </c>
      <c r="B49" t="s">
        <v>520</v>
      </c>
      <c r="C49" t="s">
        <v>521</v>
      </c>
      <c r="D49" s="84">
        <v>44813</v>
      </c>
      <c r="E49" t="s">
        <v>522</v>
      </c>
      <c r="F49" s="85" t="s">
        <v>582</v>
      </c>
      <c r="G49" t="s">
        <v>524</v>
      </c>
      <c r="H49" t="s">
        <v>525</v>
      </c>
      <c r="I49" s="84">
        <v>44813</v>
      </c>
      <c r="J49" t="s">
        <v>526</v>
      </c>
      <c r="K49" t="s">
        <v>527</v>
      </c>
      <c r="L49">
        <v>123244</v>
      </c>
      <c r="M49" t="s">
        <v>520</v>
      </c>
    </row>
    <row r="50" spans="1:13" hidden="1">
      <c r="A50">
        <v>42376</v>
      </c>
      <c r="B50" t="s">
        <v>520</v>
      </c>
      <c r="C50" t="s">
        <v>521</v>
      </c>
      <c r="D50" s="84">
        <v>44806</v>
      </c>
      <c r="E50" t="s">
        <v>522</v>
      </c>
      <c r="F50" s="85" t="s">
        <v>583</v>
      </c>
      <c r="G50" t="s">
        <v>524</v>
      </c>
      <c r="H50" t="s">
        <v>525</v>
      </c>
      <c r="I50" s="84">
        <v>44806</v>
      </c>
      <c r="J50" t="s">
        <v>526</v>
      </c>
      <c r="K50" t="s">
        <v>527</v>
      </c>
      <c r="L50" t="s">
        <v>527</v>
      </c>
      <c r="M50" t="s">
        <v>520</v>
      </c>
    </row>
    <row r="51" spans="1:13" hidden="1">
      <c r="A51">
        <v>42053</v>
      </c>
      <c r="B51" t="s">
        <v>520</v>
      </c>
      <c r="C51" t="s">
        <v>521</v>
      </c>
      <c r="D51" s="84">
        <v>44799</v>
      </c>
      <c r="E51" t="s">
        <v>522</v>
      </c>
      <c r="F51" s="85" t="s">
        <v>584</v>
      </c>
      <c r="G51" t="s">
        <v>524</v>
      </c>
      <c r="H51" t="s">
        <v>525</v>
      </c>
      <c r="I51" s="84">
        <v>44799</v>
      </c>
      <c r="J51" t="s">
        <v>526</v>
      </c>
      <c r="K51" t="s">
        <v>527</v>
      </c>
      <c r="L51" t="s">
        <v>527</v>
      </c>
      <c r="M51" t="s">
        <v>520</v>
      </c>
    </row>
    <row r="52" spans="1:13" hidden="1">
      <c r="A52">
        <v>39989</v>
      </c>
      <c r="B52" t="s">
        <v>520</v>
      </c>
      <c r="C52" t="s">
        <v>521</v>
      </c>
      <c r="D52" s="84">
        <v>44764</v>
      </c>
      <c r="E52" t="s">
        <v>522</v>
      </c>
      <c r="F52" s="85" t="s">
        <v>585</v>
      </c>
      <c r="G52" t="s">
        <v>524</v>
      </c>
      <c r="H52" t="s">
        <v>525</v>
      </c>
      <c r="I52" s="84">
        <v>44764</v>
      </c>
      <c r="J52" t="s">
        <v>526</v>
      </c>
      <c r="K52" t="s">
        <v>527</v>
      </c>
      <c r="L52" t="s">
        <v>527</v>
      </c>
      <c r="M52" t="s">
        <v>520</v>
      </c>
    </row>
    <row r="53" spans="1:13" hidden="1">
      <c r="A53">
        <v>39414</v>
      </c>
      <c r="B53" t="s">
        <v>520</v>
      </c>
      <c r="C53" t="s">
        <v>521</v>
      </c>
      <c r="D53" s="84">
        <v>44757</v>
      </c>
      <c r="E53" t="s">
        <v>522</v>
      </c>
      <c r="F53" s="85" t="s">
        <v>586</v>
      </c>
      <c r="G53" t="s">
        <v>524</v>
      </c>
      <c r="H53" t="s">
        <v>525</v>
      </c>
      <c r="I53" s="84">
        <v>44757</v>
      </c>
      <c r="J53" t="s">
        <v>526</v>
      </c>
      <c r="K53" t="s">
        <v>587</v>
      </c>
      <c r="L53">
        <v>113738</v>
      </c>
      <c r="M53" t="s">
        <v>520</v>
      </c>
    </row>
    <row r="54" spans="1:13" hidden="1">
      <c r="A54">
        <v>39185</v>
      </c>
      <c r="B54" t="s">
        <v>520</v>
      </c>
      <c r="C54" t="s">
        <v>521</v>
      </c>
      <c r="D54" s="84">
        <v>44750</v>
      </c>
      <c r="E54" t="s">
        <v>522</v>
      </c>
      <c r="F54" s="85" t="s">
        <v>588</v>
      </c>
      <c r="G54" t="s">
        <v>524</v>
      </c>
      <c r="H54" t="s">
        <v>525</v>
      </c>
      <c r="I54" s="84">
        <v>44750</v>
      </c>
      <c r="J54" t="s">
        <v>526</v>
      </c>
      <c r="K54" t="s">
        <v>589</v>
      </c>
      <c r="L54">
        <v>116357</v>
      </c>
      <c r="M54" t="s">
        <v>520</v>
      </c>
    </row>
    <row r="55" spans="1:13" hidden="1">
      <c r="A55">
        <v>2487</v>
      </c>
      <c r="B55" t="s">
        <v>520</v>
      </c>
      <c r="C55" t="s">
        <v>521</v>
      </c>
      <c r="D55" s="84">
        <v>44750</v>
      </c>
      <c r="E55" t="s">
        <v>522</v>
      </c>
      <c r="F55" s="85">
        <v>32.5</v>
      </c>
      <c r="G55" t="s">
        <v>524</v>
      </c>
      <c r="H55" t="s">
        <v>525</v>
      </c>
      <c r="I55" s="84">
        <v>44750</v>
      </c>
      <c r="J55" t="s">
        <v>539</v>
      </c>
      <c r="K55" t="s">
        <v>527</v>
      </c>
      <c r="M55" t="s">
        <v>520</v>
      </c>
    </row>
    <row r="56" spans="1:13" hidden="1">
      <c r="A56">
        <v>2463</v>
      </c>
      <c r="B56" t="s">
        <v>520</v>
      </c>
      <c r="C56" t="s">
        <v>521</v>
      </c>
      <c r="D56" s="84">
        <v>44750</v>
      </c>
      <c r="E56" t="s">
        <v>522</v>
      </c>
      <c r="F56" s="85">
        <v>32.5</v>
      </c>
      <c r="G56" t="s">
        <v>524</v>
      </c>
      <c r="H56" t="s">
        <v>537</v>
      </c>
      <c r="I56" s="84">
        <v>44750</v>
      </c>
      <c r="J56" t="s">
        <v>539</v>
      </c>
      <c r="K56" t="s">
        <v>527</v>
      </c>
      <c r="M56" t="s">
        <v>520</v>
      </c>
    </row>
    <row r="57" spans="1:13" hidden="1">
      <c r="A57">
        <v>38694</v>
      </c>
      <c r="B57" t="s">
        <v>520</v>
      </c>
      <c r="C57" t="s">
        <v>521</v>
      </c>
      <c r="D57" s="84">
        <v>44743</v>
      </c>
      <c r="E57" t="s">
        <v>522</v>
      </c>
      <c r="F57" s="85">
        <v>877.85900000000004</v>
      </c>
      <c r="G57" t="s">
        <v>524</v>
      </c>
      <c r="H57" t="s">
        <v>525</v>
      </c>
      <c r="I57" s="84">
        <v>44743</v>
      </c>
      <c r="J57" t="s">
        <v>526</v>
      </c>
      <c r="K57" t="s">
        <v>590</v>
      </c>
      <c r="L57">
        <v>116848</v>
      </c>
      <c r="M57" t="s">
        <v>520</v>
      </c>
    </row>
    <row r="58" spans="1:13" hidden="1">
      <c r="A58">
        <v>37897</v>
      </c>
      <c r="B58" t="s">
        <v>520</v>
      </c>
      <c r="C58" t="s">
        <v>521</v>
      </c>
      <c r="D58" s="84">
        <v>44722</v>
      </c>
      <c r="E58" t="s">
        <v>522</v>
      </c>
      <c r="F58" s="85" t="s">
        <v>591</v>
      </c>
      <c r="G58" t="s">
        <v>524</v>
      </c>
      <c r="H58" t="s">
        <v>525</v>
      </c>
      <c r="I58" s="84">
        <v>44722</v>
      </c>
      <c r="J58" t="s">
        <v>526</v>
      </c>
      <c r="K58" t="s">
        <v>592</v>
      </c>
      <c r="L58">
        <v>114126</v>
      </c>
      <c r="M58" t="s">
        <v>520</v>
      </c>
    </row>
    <row r="59" spans="1:13" hidden="1">
      <c r="A59">
        <v>36751</v>
      </c>
      <c r="B59" t="s">
        <v>520</v>
      </c>
      <c r="C59" t="s">
        <v>521</v>
      </c>
      <c r="D59" s="84">
        <v>44708</v>
      </c>
      <c r="E59" t="s">
        <v>522</v>
      </c>
      <c r="F59" s="85" t="s">
        <v>593</v>
      </c>
      <c r="G59" t="s">
        <v>524</v>
      </c>
      <c r="H59" t="s">
        <v>525</v>
      </c>
      <c r="I59" s="84">
        <v>44708</v>
      </c>
      <c r="J59" t="s">
        <v>526</v>
      </c>
      <c r="K59" t="s">
        <v>594</v>
      </c>
      <c r="L59">
        <v>115593</v>
      </c>
      <c r="M59" t="s">
        <v>520</v>
      </c>
    </row>
    <row r="60" spans="1:13" hidden="1">
      <c r="A60">
        <v>36377</v>
      </c>
      <c r="B60" t="s">
        <v>520</v>
      </c>
      <c r="C60" t="s">
        <v>521</v>
      </c>
      <c r="D60" s="84">
        <v>44701</v>
      </c>
      <c r="E60" t="s">
        <v>522</v>
      </c>
      <c r="F60" s="85" t="s">
        <v>595</v>
      </c>
      <c r="G60" t="s">
        <v>524</v>
      </c>
      <c r="H60" t="s">
        <v>525</v>
      </c>
      <c r="I60" s="84">
        <v>44701</v>
      </c>
      <c r="J60" t="s">
        <v>526</v>
      </c>
      <c r="K60" t="s">
        <v>527</v>
      </c>
      <c r="L60" t="s">
        <v>527</v>
      </c>
      <c r="M60" t="s">
        <v>520</v>
      </c>
    </row>
    <row r="61" spans="1:13" hidden="1">
      <c r="A61">
        <v>36469</v>
      </c>
      <c r="B61" t="s">
        <v>520</v>
      </c>
      <c r="C61" t="s">
        <v>521</v>
      </c>
      <c r="D61" s="84">
        <v>44701</v>
      </c>
      <c r="E61" t="s">
        <v>522</v>
      </c>
      <c r="F61" s="85">
        <v>83</v>
      </c>
      <c r="G61" t="s">
        <v>524</v>
      </c>
      <c r="H61" t="s">
        <v>525</v>
      </c>
      <c r="I61" s="84">
        <v>44701</v>
      </c>
      <c r="J61" t="s">
        <v>526</v>
      </c>
      <c r="K61" t="s">
        <v>596</v>
      </c>
      <c r="M61" t="s">
        <v>520</v>
      </c>
    </row>
    <row r="62" spans="1:13" hidden="1">
      <c r="A62">
        <v>34986</v>
      </c>
      <c r="B62" t="s">
        <v>520</v>
      </c>
      <c r="C62" t="s">
        <v>521</v>
      </c>
      <c r="D62" s="84">
        <v>44673</v>
      </c>
      <c r="E62" t="s">
        <v>522</v>
      </c>
      <c r="F62" s="85" t="s">
        <v>597</v>
      </c>
      <c r="G62" t="s">
        <v>524</v>
      </c>
      <c r="H62" t="s">
        <v>525</v>
      </c>
      <c r="I62" s="84">
        <v>44673</v>
      </c>
      <c r="J62" t="s">
        <v>526</v>
      </c>
      <c r="K62" t="s">
        <v>598</v>
      </c>
      <c r="L62">
        <v>114793</v>
      </c>
      <c r="M62" t="s">
        <v>520</v>
      </c>
    </row>
    <row r="63" spans="1:13" hidden="1">
      <c r="A63">
        <v>33841</v>
      </c>
      <c r="B63" t="s">
        <v>520</v>
      </c>
      <c r="C63" t="s">
        <v>521</v>
      </c>
      <c r="D63" s="84">
        <v>44669</v>
      </c>
      <c r="E63" t="s">
        <v>522</v>
      </c>
      <c r="F63" s="85">
        <v>414.98</v>
      </c>
      <c r="G63" t="s">
        <v>524</v>
      </c>
      <c r="H63" t="s">
        <v>525</v>
      </c>
      <c r="I63" s="84">
        <v>44669</v>
      </c>
      <c r="J63" t="s">
        <v>526</v>
      </c>
      <c r="K63" t="s">
        <v>599</v>
      </c>
      <c r="L63">
        <v>111747</v>
      </c>
      <c r="M63" t="s">
        <v>520</v>
      </c>
    </row>
    <row r="64" spans="1:13" hidden="1">
      <c r="A64">
        <v>33182</v>
      </c>
      <c r="B64" t="s">
        <v>520</v>
      </c>
      <c r="C64" t="s">
        <v>521</v>
      </c>
      <c r="D64" s="84">
        <v>44659</v>
      </c>
      <c r="E64" t="s">
        <v>522</v>
      </c>
      <c r="F64" s="85">
        <v>27.75</v>
      </c>
      <c r="G64" t="s">
        <v>524</v>
      </c>
      <c r="H64" t="s">
        <v>525</v>
      </c>
      <c r="I64" s="84">
        <v>44659</v>
      </c>
      <c r="J64" t="s">
        <v>526</v>
      </c>
      <c r="K64" t="s">
        <v>600</v>
      </c>
      <c r="M64" t="s">
        <v>520</v>
      </c>
    </row>
    <row r="65" spans="1:13" hidden="1">
      <c r="A65">
        <v>32378</v>
      </c>
      <c r="B65" t="s">
        <v>520</v>
      </c>
      <c r="C65" t="s">
        <v>521</v>
      </c>
      <c r="D65" s="84">
        <v>44645</v>
      </c>
      <c r="E65" t="s">
        <v>522</v>
      </c>
      <c r="F65" s="85">
        <v>338.536</v>
      </c>
      <c r="G65" t="s">
        <v>524</v>
      </c>
      <c r="H65" t="s">
        <v>525</v>
      </c>
      <c r="I65" s="84">
        <v>44645</v>
      </c>
      <c r="J65" t="s">
        <v>526</v>
      </c>
      <c r="K65" t="s">
        <v>601</v>
      </c>
      <c r="L65">
        <v>111016</v>
      </c>
      <c r="M65" t="s">
        <v>520</v>
      </c>
    </row>
    <row r="66" spans="1:13" hidden="1">
      <c r="A66">
        <v>30386</v>
      </c>
      <c r="B66" t="s">
        <v>520</v>
      </c>
      <c r="C66" t="s">
        <v>521</v>
      </c>
      <c r="D66" s="84">
        <v>44610</v>
      </c>
      <c r="E66" t="s">
        <v>522</v>
      </c>
      <c r="F66" s="85" t="s">
        <v>602</v>
      </c>
      <c r="G66" t="s">
        <v>524</v>
      </c>
      <c r="H66" t="s">
        <v>525</v>
      </c>
      <c r="I66" s="84">
        <v>44610</v>
      </c>
      <c r="J66" t="s">
        <v>526</v>
      </c>
      <c r="K66" t="s">
        <v>527</v>
      </c>
      <c r="L66" t="s">
        <v>527</v>
      </c>
      <c r="M66" t="s">
        <v>520</v>
      </c>
    </row>
    <row r="67" spans="1:13" hidden="1">
      <c r="A67">
        <v>29400</v>
      </c>
      <c r="B67" t="s">
        <v>520</v>
      </c>
      <c r="C67" t="s">
        <v>521</v>
      </c>
      <c r="D67" s="84">
        <v>44596</v>
      </c>
      <c r="E67" t="s">
        <v>522</v>
      </c>
      <c r="F67" s="85" t="s">
        <v>603</v>
      </c>
      <c r="G67" t="s">
        <v>524</v>
      </c>
      <c r="H67" t="s">
        <v>525</v>
      </c>
      <c r="I67" s="84">
        <v>44596</v>
      </c>
      <c r="J67" t="s">
        <v>526</v>
      </c>
      <c r="K67" t="s">
        <v>604</v>
      </c>
      <c r="L67">
        <v>103810</v>
      </c>
      <c r="M67" t="s">
        <v>520</v>
      </c>
    </row>
    <row r="68" spans="1:13" hidden="1">
      <c r="A68">
        <v>28680</v>
      </c>
      <c r="B68" t="s">
        <v>520</v>
      </c>
      <c r="C68" t="s">
        <v>521</v>
      </c>
      <c r="D68" s="84">
        <v>44582</v>
      </c>
      <c r="E68" t="s">
        <v>522</v>
      </c>
      <c r="F68" s="85" t="s">
        <v>605</v>
      </c>
      <c r="G68" t="s">
        <v>524</v>
      </c>
      <c r="H68" t="s">
        <v>525</v>
      </c>
      <c r="I68" s="84">
        <v>44582</v>
      </c>
      <c r="J68" t="s">
        <v>526</v>
      </c>
      <c r="K68" t="s">
        <v>527</v>
      </c>
      <c r="L68" t="s">
        <v>527</v>
      </c>
      <c r="M68" t="s">
        <v>520</v>
      </c>
    </row>
    <row r="69" spans="1:13" hidden="1">
      <c r="A69">
        <v>27591</v>
      </c>
      <c r="B69" t="s">
        <v>520</v>
      </c>
      <c r="C69" t="s">
        <v>521</v>
      </c>
      <c r="D69" s="84">
        <v>44568</v>
      </c>
      <c r="E69" t="s">
        <v>522</v>
      </c>
      <c r="F69" s="85" t="s">
        <v>606</v>
      </c>
      <c r="G69" t="s">
        <v>524</v>
      </c>
      <c r="H69" t="s">
        <v>525</v>
      </c>
      <c r="I69" s="84">
        <v>44568</v>
      </c>
      <c r="J69" t="s">
        <v>526</v>
      </c>
      <c r="K69" t="s">
        <v>527</v>
      </c>
      <c r="L69" t="s">
        <v>527</v>
      </c>
      <c r="M69" t="s">
        <v>520</v>
      </c>
    </row>
    <row r="70" spans="1:13" hidden="1">
      <c r="A70">
        <v>26268</v>
      </c>
      <c r="B70" t="s">
        <v>520</v>
      </c>
      <c r="C70" t="s">
        <v>521</v>
      </c>
      <c r="D70" s="84">
        <v>44547</v>
      </c>
      <c r="E70" t="s">
        <v>522</v>
      </c>
      <c r="F70" s="85">
        <v>841.13099999999997</v>
      </c>
      <c r="G70" t="s">
        <v>524</v>
      </c>
      <c r="H70" t="s">
        <v>525</v>
      </c>
      <c r="I70" s="84">
        <v>44547</v>
      </c>
      <c r="J70" t="s">
        <v>526</v>
      </c>
      <c r="K70" t="s">
        <v>607</v>
      </c>
      <c r="L70">
        <v>102392</v>
      </c>
      <c r="M70" t="s">
        <v>520</v>
      </c>
    </row>
    <row r="71" spans="1:13" hidden="1">
      <c r="A71">
        <v>24530</v>
      </c>
      <c r="B71" t="s">
        <v>520</v>
      </c>
      <c r="C71" t="s">
        <v>521</v>
      </c>
      <c r="D71" s="84">
        <v>44526</v>
      </c>
      <c r="E71" t="s">
        <v>522</v>
      </c>
      <c r="F71" s="85" t="s">
        <v>608</v>
      </c>
      <c r="G71" t="s">
        <v>524</v>
      </c>
      <c r="H71" t="s">
        <v>525</v>
      </c>
      <c r="I71" s="84">
        <v>44526</v>
      </c>
      <c r="J71" t="s">
        <v>526</v>
      </c>
      <c r="K71" t="s">
        <v>609</v>
      </c>
      <c r="M71" t="s">
        <v>520</v>
      </c>
    </row>
    <row r="72" spans="1:13" hidden="1">
      <c r="A72">
        <v>23156</v>
      </c>
      <c r="B72" t="s">
        <v>520</v>
      </c>
      <c r="C72" t="s">
        <v>521</v>
      </c>
      <c r="D72" s="84">
        <v>44505</v>
      </c>
      <c r="E72" t="s">
        <v>522</v>
      </c>
      <c r="F72" s="85">
        <v>35</v>
      </c>
      <c r="G72" t="s">
        <v>524</v>
      </c>
      <c r="H72" t="s">
        <v>525</v>
      </c>
      <c r="I72" s="84">
        <v>44505</v>
      </c>
      <c r="J72" t="s">
        <v>526</v>
      </c>
      <c r="K72" t="s">
        <v>610</v>
      </c>
      <c r="M72" t="s">
        <v>520</v>
      </c>
    </row>
    <row r="73" spans="1:13" hidden="1">
      <c r="A73">
        <v>2701</v>
      </c>
      <c r="B73" t="s">
        <v>520</v>
      </c>
      <c r="C73" t="s">
        <v>611</v>
      </c>
      <c r="D73" s="84">
        <v>44498</v>
      </c>
      <c r="E73" t="s">
        <v>522</v>
      </c>
      <c r="F73" s="85" t="s">
        <v>612</v>
      </c>
      <c r="G73" t="s">
        <v>524</v>
      </c>
      <c r="H73" t="s">
        <v>525</v>
      </c>
      <c r="I73" s="84">
        <v>44498</v>
      </c>
      <c r="J73" t="s">
        <v>613</v>
      </c>
      <c r="K73" t="s">
        <v>527</v>
      </c>
      <c r="L73">
        <v>1984</v>
      </c>
      <c r="M73" t="s">
        <v>520</v>
      </c>
    </row>
    <row r="74" spans="1:13" hidden="1">
      <c r="A74">
        <v>22537</v>
      </c>
      <c r="B74" t="s">
        <v>520</v>
      </c>
      <c r="C74" t="s">
        <v>521</v>
      </c>
      <c r="D74" s="84">
        <v>44498</v>
      </c>
      <c r="E74" t="s">
        <v>522</v>
      </c>
      <c r="F74" s="85">
        <v>976.59199999999998</v>
      </c>
      <c r="G74" t="s">
        <v>524</v>
      </c>
      <c r="H74" t="s">
        <v>525</v>
      </c>
      <c r="I74" s="84">
        <v>44498</v>
      </c>
      <c r="J74" t="s">
        <v>526</v>
      </c>
      <c r="K74" t="s">
        <v>614</v>
      </c>
      <c r="L74">
        <v>101284</v>
      </c>
      <c r="M74" t="s">
        <v>520</v>
      </c>
    </row>
    <row r="75" spans="1:13" hidden="1">
      <c r="A75">
        <v>20013</v>
      </c>
      <c r="B75" t="s">
        <v>520</v>
      </c>
      <c r="C75" t="s">
        <v>521</v>
      </c>
      <c r="D75" s="84">
        <v>44463</v>
      </c>
      <c r="E75" t="s">
        <v>522</v>
      </c>
      <c r="F75" s="85" t="s">
        <v>608</v>
      </c>
      <c r="G75" t="s">
        <v>524</v>
      </c>
      <c r="H75" t="s">
        <v>525</v>
      </c>
      <c r="I75" s="84">
        <v>44463</v>
      </c>
      <c r="J75" t="s">
        <v>526</v>
      </c>
      <c r="K75" t="s">
        <v>615</v>
      </c>
      <c r="L75">
        <v>93303</v>
      </c>
      <c r="M75" t="s">
        <v>520</v>
      </c>
    </row>
    <row r="76" spans="1:13" hidden="1">
      <c r="A76">
        <v>20309</v>
      </c>
      <c r="B76" t="s">
        <v>520</v>
      </c>
      <c r="C76" t="s">
        <v>521</v>
      </c>
      <c r="D76" s="84">
        <v>44463</v>
      </c>
      <c r="E76" t="s">
        <v>522</v>
      </c>
      <c r="F76" s="85">
        <v>62.432000000000002</v>
      </c>
      <c r="G76" t="s">
        <v>524</v>
      </c>
      <c r="H76" t="s">
        <v>525</v>
      </c>
      <c r="I76" s="84">
        <v>44463</v>
      </c>
      <c r="J76" t="s">
        <v>526</v>
      </c>
      <c r="K76" t="s">
        <v>527</v>
      </c>
      <c r="L76">
        <v>99832</v>
      </c>
      <c r="M76" t="s">
        <v>520</v>
      </c>
    </row>
    <row r="77" spans="1:13" hidden="1">
      <c r="A77">
        <v>17974</v>
      </c>
      <c r="B77" t="s">
        <v>520</v>
      </c>
      <c r="C77" t="s">
        <v>521</v>
      </c>
      <c r="D77" s="84">
        <v>44435</v>
      </c>
      <c r="E77" t="s">
        <v>522</v>
      </c>
      <c r="F77" s="85" t="s">
        <v>616</v>
      </c>
      <c r="G77" t="s">
        <v>524</v>
      </c>
      <c r="H77" t="s">
        <v>525</v>
      </c>
      <c r="I77" s="84">
        <v>44435</v>
      </c>
      <c r="J77" t="s">
        <v>526</v>
      </c>
      <c r="K77" t="s">
        <v>617</v>
      </c>
      <c r="L77">
        <v>94639</v>
      </c>
      <c r="M77" t="s">
        <v>520</v>
      </c>
    </row>
    <row r="78" spans="1:13" hidden="1">
      <c r="A78">
        <v>16947</v>
      </c>
      <c r="B78" t="s">
        <v>520</v>
      </c>
      <c r="C78" t="s">
        <v>521</v>
      </c>
      <c r="D78" s="84">
        <v>44421</v>
      </c>
      <c r="E78" t="s">
        <v>522</v>
      </c>
      <c r="F78" s="85" t="s">
        <v>618</v>
      </c>
      <c r="G78" t="s">
        <v>524</v>
      </c>
      <c r="H78" t="s">
        <v>525</v>
      </c>
      <c r="I78" s="84">
        <v>44421</v>
      </c>
      <c r="J78" t="s">
        <v>526</v>
      </c>
      <c r="K78" t="s">
        <v>619</v>
      </c>
      <c r="L78">
        <v>94939</v>
      </c>
      <c r="M78" t="s">
        <v>520</v>
      </c>
    </row>
    <row r="79" spans="1:13" hidden="1">
      <c r="A79">
        <v>15842</v>
      </c>
      <c r="B79" t="s">
        <v>520</v>
      </c>
      <c r="C79" t="s">
        <v>521</v>
      </c>
      <c r="D79" s="84">
        <v>44407</v>
      </c>
      <c r="E79" t="s">
        <v>522</v>
      </c>
      <c r="F79" s="85" t="s">
        <v>620</v>
      </c>
      <c r="G79" t="s">
        <v>524</v>
      </c>
      <c r="H79" t="s">
        <v>525</v>
      </c>
      <c r="I79" s="84">
        <v>44407</v>
      </c>
      <c r="J79" t="s">
        <v>526</v>
      </c>
      <c r="K79" t="s">
        <v>621</v>
      </c>
      <c r="L79">
        <v>88992</v>
      </c>
      <c r="M79" t="s">
        <v>520</v>
      </c>
    </row>
    <row r="80" spans="1:13" hidden="1">
      <c r="A80">
        <v>1046642</v>
      </c>
      <c r="B80" t="s">
        <v>520</v>
      </c>
      <c r="C80" t="s">
        <v>543</v>
      </c>
      <c r="D80" s="84">
        <v>44398</v>
      </c>
      <c r="E80" t="s">
        <v>522</v>
      </c>
      <c r="F80" s="85">
        <v>780.61300000000006</v>
      </c>
      <c r="G80" t="s">
        <v>524</v>
      </c>
      <c r="H80" t="s">
        <v>525</v>
      </c>
      <c r="I80" s="84">
        <v>44398</v>
      </c>
      <c r="J80" t="s">
        <v>545</v>
      </c>
      <c r="K80" t="s">
        <v>622</v>
      </c>
      <c r="L80">
        <v>49793</v>
      </c>
      <c r="M80" t="s">
        <v>520</v>
      </c>
    </row>
    <row r="81" spans="1:13" hidden="1">
      <c r="A81">
        <v>15205</v>
      </c>
      <c r="B81" t="s">
        <v>520</v>
      </c>
      <c r="C81" t="s">
        <v>521</v>
      </c>
      <c r="D81" s="84">
        <v>44393</v>
      </c>
      <c r="E81" t="s">
        <v>522</v>
      </c>
      <c r="F81" s="85">
        <v>610.75300000000004</v>
      </c>
      <c r="G81" t="s">
        <v>524</v>
      </c>
      <c r="H81" t="s">
        <v>525</v>
      </c>
      <c r="I81" s="84">
        <v>44393</v>
      </c>
      <c r="J81" t="s">
        <v>526</v>
      </c>
      <c r="K81" t="s">
        <v>623</v>
      </c>
      <c r="L81">
        <v>92092</v>
      </c>
      <c r="M81" t="s">
        <v>520</v>
      </c>
    </row>
    <row r="82" spans="1:13" hidden="1">
      <c r="A82">
        <v>14462</v>
      </c>
      <c r="B82" t="s">
        <v>520</v>
      </c>
      <c r="C82" t="s">
        <v>521</v>
      </c>
      <c r="D82" s="84">
        <v>44386</v>
      </c>
      <c r="E82" t="s">
        <v>522</v>
      </c>
      <c r="F82" s="85" t="s">
        <v>608</v>
      </c>
      <c r="G82" t="s">
        <v>524</v>
      </c>
      <c r="H82" t="s">
        <v>525</v>
      </c>
      <c r="I82" s="84">
        <v>44386</v>
      </c>
      <c r="J82" t="s">
        <v>526</v>
      </c>
      <c r="K82" t="s">
        <v>624</v>
      </c>
      <c r="L82">
        <v>88052</v>
      </c>
      <c r="M82" t="s">
        <v>520</v>
      </c>
    </row>
    <row r="83" spans="1:13" hidden="1">
      <c r="A83">
        <v>14041</v>
      </c>
      <c r="B83" t="s">
        <v>520</v>
      </c>
      <c r="C83" t="s">
        <v>521</v>
      </c>
      <c r="D83" s="84">
        <v>44379</v>
      </c>
      <c r="E83" t="s">
        <v>522</v>
      </c>
      <c r="F83" s="85">
        <v>464.83499999999998</v>
      </c>
      <c r="G83" t="s">
        <v>524</v>
      </c>
      <c r="H83" t="s">
        <v>525</v>
      </c>
      <c r="I83" s="84">
        <v>44379</v>
      </c>
      <c r="J83" t="s">
        <v>526</v>
      </c>
      <c r="K83" t="s">
        <v>625</v>
      </c>
      <c r="L83">
        <v>92297</v>
      </c>
      <c r="M83" t="s">
        <v>520</v>
      </c>
    </row>
    <row r="84" spans="1:13" hidden="1">
      <c r="A84">
        <v>13535</v>
      </c>
      <c r="B84" t="s">
        <v>520</v>
      </c>
      <c r="C84" t="s">
        <v>521</v>
      </c>
      <c r="D84" s="84">
        <v>44372</v>
      </c>
      <c r="E84" t="s">
        <v>522</v>
      </c>
      <c r="F84" s="85" t="s">
        <v>626</v>
      </c>
      <c r="G84" t="s">
        <v>524</v>
      </c>
      <c r="H84" t="s">
        <v>525</v>
      </c>
      <c r="I84" s="84">
        <v>44372</v>
      </c>
      <c r="J84" t="s">
        <v>526</v>
      </c>
      <c r="K84" t="s">
        <v>627</v>
      </c>
      <c r="L84">
        <v>89744</v>
      </c>
      <c r="M84" t="s">
        <v>520</v>
      </c>
    </row>
    <row r="85" spans="1:13" hidden="1">
      <c r="A85">
        <v>12628</v>
      </c>
      <c r="B85" t="s">
        <v>520</v>
      </c>
      <c r="C85" t="s">
        <v>521</v>
      </c>
      <c r="D85" s="84">
        <v>44358</v>
      </c>
      <c r="E85" t="s">
        <v>522</v>
      </c>
      <c r="F85" s="85">
        <v>70.5</v>
      </c>
      <c r="G85" t="s">
        <v>524</v>
      </c>
      <c r="H85" t="s">
        <v>525</v>
      </c>
      <c r="I85" s="84">
        <v>44358</v>
      </c>
      <c r="J85" t="s">
        <v>526</v>
      </c>
      <c r="K85" t="s">
        <v>628</v>
      </c>
      <c r="M85" t="s">
        <v>520</v>
      </c>
    </row>
    <row r="86" spans="1:13" hidden="1">
      <c r="A86">
        <v>12039</v>
      </c>
      <c r="B86" t="s">
        <v>520</v>
      </c>
      <c r="C86" t="s">
        <v>521</v>
      </c>
      <c r="D86" s="84">
        <v>44351</v>
      </c>
      <c r="E86" t="s">
        <v>522</v>
      </c>
      <c r="F86" s="85">
        <v>541.423</v>
      </c>
      <c r="G86" t="s">
        <v>524</v>
      </c>
      <c r="H86" t="s">
        <v>525</v>
      </c>
      <c r="I86" s="84">
        <v>44351</v>
      </c>
      <c r="J86" t="s">
        <v>526</v>
      </c>
      <c r="K86" t="s">
        <v>629</v>
      </c>
      <c r="L86">
        <v>88849</v>
      </c>
      <c r="M86" t="s">
        <v>520</v>
      </c>
    </row>
    <row r="87" spans="1:13" hidden="1">
      <c r="A87">
        <v>9051</v>
      </c>
      <c r="B87" t="s">
        <v>520</v>
      </c>
      <c r="C87" t="s">
        <v>521</v>
      </c>
      <c r="D87" s="84">
        <v>44302</v>
      </c>
      <c r="E87" t="s">
        <v>522</v>
      </c>
      <c r="F87" s="85" t="s">
        <v>630</v>
      </c>
      <c r="G87" t="s">
        <v>524</v>
      </c>
      <c r="H87" t="s">
        <v>525</v>
      </c>
      <c r="I87" s="84">
        <v>44302</v>
      </c>
      <c r="J87" t="s">
        <v>526</v>
      </c>
      <c r="K87" t="s">
        <v>527</v>
      </c>
      <c r="L87" t="s">
        <v>527</v>
      </c>
      <c r="M87" t="s">
        <v>520</v>
      </c>
    </row>
    <row r="88" spans="1:13" hidden="1">
      <c r="A88">
        <v>1043345</v>
      </c>
      <c r="B88" t="s">
        <v>520</v>
      </c>
      <c r="C88" t="s">
        <v>543</v>
      </c>
      <c r="D88" s="84">
        <v>44286</v>
      </c>
      <c r="E88" t="s">
        <v>522</v>
      </c>
      <c r="F88" s="85">
        <v>433.61799999999999</v>
      </c>
      <c r="G88" t="s">
        <v>524</v>
      </c>
      <c r="H88" t="s">
        <v>525</v>
      </c>
      <c r="I88" s="84">
        <v>44286</v>
      </c>
      <c r="J88" t="s">
        <v>545</v>
      </c>
      <c r="K88" t="s">
        <v>631</v>
      </c>
      <c r="L88">
        <v>44646</v>
      </c>
      <c r="M88" t="s">
        <v>520</v>
      </c>
    </row>
    <row r="89" spans="1:13" hidden="1">
      <c r="A89">
        <v>7552</v>
      </c>
      <c r="B89" t="s">
        <v>520</v>
      </c>
      <c r="C89" t="s">
        <v>521</v>
      </c>
      <c r="D89" s="84">
        <v>44281</v>
      </c>
      <c r="E89" t="s">
        <v>522</v>
      </c>
      <c r="F89" s="85">
        <v>655.23</v>
      </c>
      <c r="G89" t="s">
        <v>524</v>
      </c>
      <c r="H89" t="s">
        <v>525</v>
      </c>
      <c r="I89" s="84">
        <v>44281</v>
      </c>
      <c r="J89" t="s">
        <v>526</v>
      </c>
      <c r="K89" t="s">
        <v>632</v>
      </c>
      <c r="L89">
        <v>83600</v>
      </c>
      <c r="M89" t="s">
        <v>520</v>
      </c>
    </row>
    <row r="90" spans="1:13" hidden="1">
      <c r="A90">
        <v>7182</v>
      </c>
      <c r="B90" t="s">
        <v>520</v>
      </c>
      <c r="C90" t="s">
        <v>521</v>
      </c>
      <c r="D90" s="84">
        <v>44274</v>
      </c>
      <c r="E90" t="s">
        <v>522</v>
      </c>
      <c r="F90" s="85">
        <v>742.80399999999997</v>
      </c>
      <c r="G90" t="s">
        <v>524</v>
      </c>
      <c r="H90" t="s">
        <v>525</v>
      </c>
      <c r="I90" s="84">
        <v>44274</v>
      </c>
      <c r="J90" t="s">
        <v>526</v>
      </c>
      <c r="K90" t="s">
        <v>633</v>
      </c>
      <c r="L90">
        <v>83132</v>
      </c>
      <c r="M90" t="s">
        <v>520</v>
      </c>
    </row>
    <row r="91" spans="1:13" hidden="1">
      <c r="A91">
        <v>1716</v>
      </c>
      <c r="B91" t="s">
        <v>520</v>
      </c>
      <c r="C91" t="s">
        <v>521</v>
      </c>
      <c r="D91" s="84">
        <v>44218</v>
      </c>
      <c r="E91" t="s">
        <v>522</v>
      </c>
      <c r="F91" s="85" t="s">
        <v>634</v>
      </c>
      <c r="G91" t="s">
        <v>524</v>
      </c>
      <c r="H91" t="s">
        <v>525</v>
      </c>
      <c r="I91" s="84">
        <v>44218</v>
      </c>
      <c r="J91" t="s">
        <v>539</v>
      </c>
      <c r="K91" t="s">
        <v>635</v>
      </c>
      <c r="L91">
        <v>75436</v>
      </c>
      <c r="M91" t="s">
        <v>520</v>
      </c>
    </row>
    <row r="92" spans="1:13" hidden="1">
      <c r="A92">
        <v>3463</v>
      </c>
      <c r="B92" t="s">
        <v>520</v>
      </c>
      <c r="C92" t="s">
        <v>521</v>
      </c>
      <c r="D92" s="84">
        <v>44204</v>
      </c>
      <c r="E92" t="s">
        <v>522</v>
      </c>
      <c r="F92" s="85" t="s">
        <v>636</v>
      </c>
      <c r="G92" t="s">
        <v>524</v>
      </c>
      <c r="H92" t="s">
        <v>525</v>
      </c>
      <c r="I92" s="84">
        <v>44204</v>
      </c>
      <c r="J92" t="s">
        <v>526</v>
      </c>
      <c r="K92" t="s">
        <v>527</v>
      </c>
      <c r="L92" t="s">
        <v>527</v>
      </c>
      <c r="M92" t="s">
        <v>520</v>
      </c>
    </row>
    <row r="93" spans="1:13" hidden="1">
      <c r="A93">
        <v>850</v>
      </c>
      <c r="B93" t="s">
        <v>520</v>
      </c>
      <c r="C93" t="s">
        <v>521</v>
      </c>
      <c r="D93" s="84">
        <v>44193</v>
      </c>
      <c r="E93" t="s">
        <v>522</v>
      </c>
      <c r="F93" s="85">
        <v>540.221</v>
      </c>
      <c r="G93" t="s">
        <v>524</v>
      </c>
      <c r="H93" t="s">
        <v>525</v>
      </c>
      <c r="I93" s="84">
        <v>44193</v>
      </c>
      <c r="J93" t="s">
        <v>539</v>
      </c>
      <c r="K93" t="s">
        <v>637</v>
      </c>
      <c r="L93">
        <v>78712</v>
      </c>
      <c r="M93" t="s">
        <v>520</v>
      </c>
    </row>
    <row r="94" spans="1:13" hidden="1">
      <c r="A94">
        <v>1040899</v>
      </c>
      <c r="B94" t="s">
        <v>520</v>
      </c>
      <c r="C94" t="s">
        <v>543</v>
      </c>
      <c r="D94" s="84">
        <v>44188</v>
      </c>
      <c r="E94" t="s">
        <v>522</v>
      </c>
      <c r="F94" s="85" t="s">
        <v>638</v>
      </c>
      <c r="G94" t="s">
        <v>524</v>
      </c>
      <c r="H94" t="s">
        <v>525</v>
      </c>
      <c r="I94" s="84">
        <v>44188</v>
      </c>
      <c r="J94" t="s">
        <v>545</v>
      </c>
      <c r="K94" t="s">
        <v>639</v>
      </c>
      <c r="L94">
        <v>40673</v>
      </c>
      <c r="M94" t="s">
        <v>520</v>
      </c>
    </row>
    <row r="95" spans="1:13" hidden="1">
      <c r="A95">
        <v>1040288</v>
      </c>
      <c r="B95" t="s">
        <v>520</v>
      </c>
      <c r="C95" t="s">
        <v>543</v>
      </c>
      <c r="D95" s="84">
        <v>44167</v>
      </c>
      <c r="E95" t="s">
        <v>522</v>
      </c>
      <c r="F95" s="85" t="s">
        <v>640</v>
      </c>
      <c r="G95" t="s">
        <v>524</v>
      </c>
      <c r="H95" t="s">
        <v>525</v>
      </c>
      <c r="I95" s="84">
        <v>44167</v>
      </c>
      <c r="J95" t="s">
        <v>545</v>
      </c>
      <c r="K95" t="s">
        <v>527</v>
      </c>
      <c r="L95">
        <v>40625</v>
      </c>
      <c r="M95" t="s">
        <v>520</v>
      </c>
    </row>
    <row r="96" spans="1:13" hidden="1">
      <c r="A96">
        <v>44341</v>
      </c>
      <c r="B96" t="s">
        <v>520</v>
      </c>
      <c r="C96" t="s">
        <v>641</v>
      </c>
      <c r="D96" s="84">
        <v>44134</v>
      </c>
      <c r="E96" t="s">
        <v>522</v>
      </c>
      <c r="F96" s="85" t="s">
        <v>642</v>
      </c>
      <c r="G96" t="s">
        <v>524</v>
      </c>
      <c r="H96" t="s">
        <v>525</v>
      </c>
      <c r="I96" s="84">
        <v>44134</v>
      </c>
      <c r="J96" t="s">
        <v>526</v>
      </c>
      <c r="K96">
        <v>295</v>
      </c>
      <c r="L96">
        <v>75408</v>
      </c>
      <c r="M96" t="s">
        <v>520</v>
      </c>
    </row>
    <row r="97" spans="1:13" hidden="1">
      <c r="A97">
        <v>44207</v>
      </c>
      <c r="B97" t="s">
        <v>520</v>
      </c>
      <c r="C97" t="s">
        <v>641</v>
      </c>
      <c r="D97" s="84">
        <v>44118</v>
      </c>
      <c r="E97" t="s">
        <v>522</v>
      </c>
      <c r="F97" s="85" t="s">
        <v>643</v>
      </c>
      <c r="G97" t="s">
        <v>524</v>
      </c>
      <c r="H97" t="s">
        <v>525</v>
      </c>
      <c r="I97" s="84">
        <v>44118</v>
      </c>
      <c r="J97" t="s">
        <v>526</v>
      </c>
      <c r="K97">
        <v>291</v>
      </c>
      <c r="L97">
        <v>75840</v>
      </c>
      <c r="M97" t="s">
        <v>520</v>
      </c>
    </row>
    <row r="98" spans="1:13" hidden="1">
      <c r="A98">
        <v>41498</v>
      </c>
      <c r="B98" t="s">
        <v>520</v>
      </c>
      <c r="C98" t="s">
        <v>641</v>
      </c>
      <c r="D98" s="84">
        <v>44099</v>
      </c>
      <c r="E98" t="s">
        <v>522</v>
      </c>
      <c r="F98" s="85" t="s">
        <v>644</v>
      </c>
      <c r="G98" t="s">
        <v>524</v>
      </c>
      <c r="H98" t="s">
        <v>525</v>
      </c>
      <c r="I98" s="84">
        <v>44099</v>
      </c>
      <c r="J98" t="s">
        <v>539</v>
      </c>
      <c r="K98">
        <v>289</v>
      </c>
      <c r="L98">
        <v>74116</v>
      </c>
      <c r="M98" t="s">
        <v>520</v>
      </c>
    </row>
    <row r="99" spans="1:13" hidden="1">
      <c r="A99">
        <v>40645</v>
      </c>
      <c r="B99" t="s">
        <v>520</v>
      </c>
      <c r="C99" t="s">
        <v>641</v>
      </c>
      <c r="D99" s="84">
        <v>44085</v>
      </c>
      <c r="E99" t="s">
        <v>522</v>
      </c>
      <c r="F99" s="85" t="s">
        <v>645</v>
      </c>
      <c r="G99" t="s">
        <v>524</v>
      </c>
      <c r="H99" t="s">
        <v>525</v>
      </c>
      <c r="I99" s="84">
        <v>44085</v>
      </c>
      <c r="J99" t="s">
        <v>539</v>
      </c>
      <c r="K99">
        <v>293</v>
      </c>
      <c r="L99">
        <v>75366</v>
      </c>
      <c r="M99" t="s">
        <v>520</v>
      </c>
    </row>
    <row r="100" spans="1:13" hidden="1">
      <c r="A100">
        <v>43591</v>
      </c>
      <c r="B100" t="s">
        <v>520</v>
      </c>
      <c r="C100" t="s">
        <v>641</v>
      </c>
      <c r="D100" s="84">
        <v>44071</v>
      </c>
      <c r="E100" t="s">
        <v>522</v>
      </c>
      <c r="F100" s="85" t="s">
        <v>646</v>
      </c>
      <c r="G100" t="s">
        <v>524</v>
      </c>
      <c r="H100" t="s">
        <v>525</v>
      </c>
      <c r="I100" s="84">
        <v>44071</v>
      </c>
      <c r="J100" t="s">
        <v>526</v>
      </c>
      <c r="K100" t="s">
        <v>527</v>
      </c>
      <c r="L100" t="s">
        <v>527</v>
      </c>
      <c r="M100" t="s">
        <v>520</v>
      </c>
    </row>
    <row r="101" spans="1:13" hidden="1">
      <c r="A101">
        <v>43321</v>
      </c>
      <c r="B101" t="s">
        <v>520</v>
      </c>
      <c r="C101" t="s">
        <v>641</v>
      </c>
      <c r="D101" s="84">
        <v>44057</v>
      </c>
      <c r="E101" t="s">
        <v>522</v>
      </c>
      <c r="F101" s="85" t="s">
        <v>647</v>
      </c>
      <c r="G101" t="s">
        <v>524</v>
      </c>
      <c r="H101" t="s">
        <v>525</v>
      </c>
      <c r="I101" s="84">
        <v>44057</v>
      </c>
      <c r="J101" t="s">
        <v>526</v>
      </c>
      <c r="K101">
        <v>288</v>
      </c>
      <c r="L101">
        <v>72068</v>
      </c>
      <c r="M101" t="s">
        <v>520</v>
      </c>
    </row>
    <row r="102" spans="1:13" hidden="1">
      <c r="A102">
        <v>43058</v>
      </c>
      <c r="B102" t="s">
        <v>520</v>
      </c>
      <c r="C102" t="s">
        <v>641</v>
      </c>
      <c r="D102" s="84">
        <v>44043</v>
      </c>
      <c r="E102" t="s">
        <v>522</v>
      </c>
      <c r="F102" s="85" t="s">
        <v>648</v>
      </c>
      <c r="G102" t="s">
        <v>524</v>
      </c>
      <c r="H102" t="s">
        <v>525</v>
      </c>
      <c r="I102" s="84">
        <v>44043</v>
      </c>
      <c r="J102" t="s">
        <v>526</v>
      </c>
      <c r="K102" t="s">
        <v>527</v>
      </c>
      <c r="L102" t="s">
        <v>527</v>
      </c>
      <c r="M102" t="s">
        <v>520</v>
      </c>
    </row>
    <row r="103" spans="1:13" hidden="1">
      <c r="A103">
        <v>42829</v>
      </c>
      <c r="B103" t="s">
        <v>520</v>
      </c>
      <c r="C103" t="s">
        <v>641</v>
      </c>
      <c r="D103" s="84">
        <v>44036</v>
      </c>
      <c r="E103" t="s">
        <v>522</v>
      </c>
      <c r="F103" s="85" t="s">
        <v>649</v>
      </c>
      <c r="G103" t="s">
        <v>524</v>
      </c>
      <c r="H103" t="s">
        <v>525</v>
      </c>
      <c r="I103" s="84">
        <v>44036</v>
      </c>
      <c r="J103" t="s">
        <v>526</v>
      </c>
      <c r="K103">
        <v>279</v>
      </c>
      <c r="L103">
        <v>68404</v>
      </c>
      <c r="M103" t="s">
        <v>520</v>
      </c>
    </row>
    <row r="104" spans="1:13" hidden="1">
      <c r="A104">
        <v>42571</v>
      </c>
      <c r="B104" t="s">
        <v>520</v>
      </c>
      <c r="C104" t="s">
        <v>641</v>
      </c>
      <c r="D104" s="84">
        <v>44015</v>
      </c>
      <c r="E104" t="s">
        <v>522</v>
      </c>
      <c r="F104" s="85" t="s">
        <v>650</v>
      </c>
      <c r="G104" t="s">
        <v>524</v>
      </c>
      <c r="H104" t="s">
        <v>525</v>
      </c>
      <c r="I104" s="84">
        <v>44015</v>
      </c>
      <c r="J104" t="s">
        <v>526</v>
      </c>
      <c r="K104" t="s">
        <v>527</v>
      </c>
      <c r="L104">
        <v>68404</v>
      </c>
      <c r="M104" t="s">
        <v>520</v>
      </c>
    </row>
    <row r="105" spans="1:13" hidden="1">
      <c r="A105">
        <v>38387</v>
      </c>
      <c r="B105" t="s">
        <v>520</v>
      </c>
      <c r="C105" t="s">
        <v>641</v>
      </c>
      <c r="D105" s="84">
        <v>44001</v>
      </c>
      <c r="E105" t="s">
        <v>522</v>
      </c>
      <c r="F105" s="85">
        <v>270.11</v>
      </c>
      <c r="G105" t="s">
        <v>524</v>
      </c>
      <c r="H105" t="s">
        <v>525</v>
      </c>
      <c r="I105" s="84">
        <v>44001</v>
      </c>
      <c r="J105" t="s">
        <v>539</v>
      </c>
      <c r="K105">
        <v>280</v>
      </c>
      <c r="L105">
        <v>71828</v>
      </c>
      <c r="M105" t="s">
        <v>520</v>
      </c>
    </row>
    <row r="106" spans="1:13" hidden="1">
      <c r="A106">
        <v>37512</v>
      </c>
      <c r="B106" t="s">
        <v>520</v>
      </c>
      <c r="C106" t="s">
        <v>641</v>
      </c>
      <c r="D106" s="84">
        <v>43966</v>
      </c>
      <c r="E106" t="s">
        <v>522</v>
      </c>
      <c r="F106" s="85" t="s">
        <v>651</v>
      </c>
      <c r="G106" t="s">
        <v>524</v>
      </c>
      <c r="H106" t="s">
        <v>525</v>
      </c>
      <c r="I106" s="84">
        <v>43966</v>
      </c>
      <c r="J106" t="s">
        <v>539</v>
      </c>
      <c r="K106" t="s">
        <v>527</v>
      </c>
      <c r="M106" t="s">
        <v>520</v>
      </c>
    </row>
    <row r="107" spans="1:13" hidden="1">
      <c r="A107">
        <v>41420</v>
      </c>
      <c r="B107" t="s">
        <v>520</v>
      </c>
      <c r="C107" t="s">
        <v>641</v>
      </c>
      <c r="D107" s="84">
        <v>43945</v>
      </c>
      <c r="E107" t="s">
        <v>522</v>
      </c>
      <c r="F107" s="85" t="s">
        <v>652</v>
      </c>
      <c r="G107" t="s">
        <v>524</v>
      </c>
      <c r="H107" t="s">
        <v>525</v>
      </c>
      <c r="I107" s="84">
        <v>43945</v>
      </c>
      <c r="J107" t="s">
        <v>526</v>
      </c>
      <c r="K107" t="s">
        <v>527</v>
      </c>
      <c r="M107" t="s">
        <v>520</v>
      </c>
    </row>
    <row r="108" spans="1:13" hidden="1">
      <c r="A108">
        <v>36018</v>
      </c>
      <c r="B108" t="s">
        <v>520</v>
      </c>
      <c r="C108" t="s">
        <v>641</v>
      </c>
      <c r="D108" s="84">
        <v>43934</v>
      </c>
      <c r="E108" t="s">
        <v>522</v>
      </c>
      <c r="F108" s="85" t="s">
        <v>653</v>
      </c>
      <c r="G108" t="s">
        <v>524</v>
      </c>
      <c r="H108" t="s">
        <v>525</v>
      </c>
      <c r="I108" s="84">
        <v>43934</v>
      </c>
      <c r="J108" t="s">
        <v>539</v>
      </c>
      <c r="K108" t="s">
        <v>527</v>
      </c>
      <c r="M108" t="s">
        <v>520</v>
      </c>
    </row>
    <row r="109" spans="1:13" hidden="1">
      <c r="A109">
        <v>40863</v>
      </c>
      <c r="B109" t="s">
        <v>520</v>
      </c>
      <c r="C109" t="s">
        <v>641</v>
      </c>
      <c r="D109" s="84">
        <v>43917</v>
      </c>
      <c r="E109" t="s">
        <v>522</v>
      </c>
      <c r="F109" s="85" t="s">
        <v>654</v>
      </c>
      <c r="G109" t="s">
        <v>524</v>
      </c>
      <c r="H109" t="s">
        <v>525</v>
      </c>
      <c r="I109" s="84">
        <v>43917</v>
      </c>
      <c r="J109" t="s">
        <v>526</v>
      </c>
      <c r="K109">
        <v>264</v>
      </c>
      <c r="M109" t="s">
        <v>520</v>
      </c>
    </row>
    <row r="110" spans="1:13" hidden="1">
      <c r="A110">
        <v>40572</v>
      </c>
      <c r="B110" t="s">
        <v>520</v>
      </c>
      <c r="C110" t="s">
        <v>641</v>
      </c>
      <c r="D110" s="84">
        <v>43910</v>
      </c>
      <c r="E110" t="s">
        <v>522</v>
      </c>
      <c r="F110" s="85" t="s">
        <v>655</v>
      </c>
      <c r="G110" t="s">
        <v>524</v>
      </c>
      <c r="H110" t="s">
        <v>525</v>
      </c>
      <c r="I110" s="84">
        <v>43910</v>
      </c>
      <c r="J110" t="s">
        <v>526</v>
      </c>
      <c r="K110">
        <v>261</v>
      </c>
      <c r="L110">
        <v>66935</v>
      </c>
      <c r="M110" t="s">
        <v>520</v>
      </c>
    </row>
    <row r="111" spans="1:13" hidden="1">
      <c r="A111">
        <v>34607</v>
      </c>
      <c r="B111" t="s">
        <v>520</v>
      </c>
      <c r="C111" t="s">
        <v>641</v>
      </c>
      <c r="D111" s="84">
        <v>43882</v>
      </c>
      <c r="E111" t="s">
        <v>522</v>
      </c>
      <c r="F111" s="85" t="s">
        <v>656</v>
      </c>
      <c r="G111" t="s">
        <v>524</v>
      </c>
      <c r="H111" t="s">
        <v>525</v>
      </c>
      <c r="I111" s="84">
        <v>43882</v>
      </c>
      <c r="J111" t="s">
        <v>539</v>
      </c>
      <c r="K111" t="s">
        <v>527</v>
      </c>
      <c r="M111" t="s">
        <v>520</v>
      </c>
    </row>
    <row r="112" spans="1:13" hidden="1">
      <c r="A112">
        <v>39808</v>
      </c>
      <c r="B112" t="s">
        <v>520</v>
      </c>
      <c r="C112" t="s">
        <v>641</v>
      </c>
      <c r="D112" s="84">
        <v>43875</v>
      </c>
      <c r="E112" t="s">
        <v>522</v>
      </c>
      <c r="F112" s="85" t="s">
        <v>657</v>
      </c>
      <c r="G112" t="s">
        <v>524</v>
      </c>
      <c r="H112" t="s">
        <v>525</v>
      </c>
      <c r="I112" s="84">
        <v>43875</v>
      </c>
      <c r="J112" t="s">
        <v>526</v>
      </c>
      <c r="K112">
        <v>256</v>
      </c>
      <c r="L112">
        <v>65183</v>
      </c>
      <c r="M112" t="s">
        <v>520</v>
      </c>
    </row>
    <row r="113" spans="1:13" hidden="1">
      <c r="A113">
        <v>38529</v>
      </c>
      <c r="B113" t="s">
        <v>520</v>
      </c>
      <c r="C113" t="s">
        <v>641</v>
      </c>
      <c r="D113" s="84">
        <v>43826</v>
      </c>
      <c r="E113" t="s">
        <v>522</v>
      </c>
      <c r="F113" s="85">
        <v>888.36800000000005</v>
      </c>
      <c r="G113" t="s">
        <v>524</v>
      </c>
      <c r="H113" t="s">
        <v>525</v>
      </c>
      <c r="I113" s="84">
        <v>43826</v>
      </c>
      <c r="J113" t="s">
        <v>526</v>
      </c>
      <c r="K113">
        <v>254</v>
      </c>
      <c r="M113" t="s">
        <v>520</v>
      </c>
    </row>
    <row r="114" spans="1:13" hidden="1">
      <c r="A114">
        <v>37874</v>
      </c>
      <c r="B114" t="s">
        <v>520</v>
      </c>
      <c r="C114" t="s">
        <v>641</v>
      </c>
      <c r="D114" s="84">
        <v>43812</v>
      </c>
      <c r="E114" t="s">
        <v>522</v>
      </c>
      <c r="F114" s="85" t="s">
        <v>658</v>
      </c>
      <c r="G114" t="s">
        <v>524</v>
      </c>
      <c r="H114" t="s">
        <v>525</v>
      </c>
      <c r="I114" s="84">
        <v>43812</v>
      </c>
      <c r="J114" t="s">
        <v>526</v>
      </c>
      <c r="K114" t="s">
        <v>527</v>
      </c>
      <c r="M114" t="s">
        <v>520</v>
      </c>
    </row>
    <row r="115" spans="1:13" hidden="1">
      <c r="A115">
        <v>37106</v>
      </c>
      <c r="B115" t="s">
        <v>520</v>
      </c>
      <c r="C115" t="s">
        <v>641</v>
      </c>
      <c r="D115" s="84">
        <v>43791</v>
      </c>
      <c r="E115" t="s">
        <v>522</v>
      </c>
      <c r="F115" s="85" t="s">
        <v>659</v>
      </c>
      <c r="G115" t="s">
        <v>524</v>
      </c>
      <c r="H115" t="s">
        <v>525</v>
      </c>
      <c r="I115" s="84">
        <v>43791</v>
      </c>
      <c r="J115" t="s">
        <v>526</v>
      </c>
      <c r="K115">
        <v>251</v>
      </c>
      <c r="L115">
        <v>60431</v>
      </c>
      <c r="M115" t="s">
        <v>520</v>
      </c>
    </row>
    <row r="116" spans="1:13" hidden="1">
      <c r="A116">
        <v>36774</v>
      </c>
      <c r="B116" t="s">
        <v>520</v>
      </c>
      <c r="C116" t="s">
        <v>641</v>
      </c>
      <c r="D116" s="84">
        <v>43784</v>
      </c>
      <c r="E116" t="s">
        <v>522</v>
      </c>
      <c r="F116" s="85">
        <v>438.92899999999997</v>
      </c>
      <c r="G116" t="s">
        <v>524</v>
      </c>
      <c r="H116" t="s">
        <v>525</v>
      </c>
      <c r="I116" s="84">
        <v>43784</v>
      </c>
      <c r="J116" t="s">
        <v>526</v>
      </c>
      <c r="K116">
        <v>250</v>
      </c>
      <c r="M116" t="s">
        <v>520</v>
      </c>
    </row>
    <row r="117" spans="1:13" hidden="1">
      <c r="A117">
        <v>36653</v>
      </c>
      <c r="B117" t="s">
        <v>520</v>
      </c>
      <c r="C117" t="s">
        <v>641</v>
      </c>
      <c r="D117" s="84">
        <v>43777</v>
      </c>
      <c r="E117" t="s">
        <v>522</v>
      </c>
      <c r="F117" s="85" t="s">
        <v>660</v>
      </c>
      <c r="G117" t="s">
        <v>524</v>
      </c>
      <c r="H117" t="s">
        <v>525</v>
      </c>
      <c r="I117" s="84">
        <v>43777</v>
      </c>
      <c r="J117" t="s">
        <v>526</v>
      </c>
      <c r="K117">
        <v>248</v>
      </c>
      <c r="L117">
        <v>59483</v>
      </c>
      <c r="M117" t="s">
        <v>520</v>
      </c>
    </row>
    <row r="118" spans="1:13" hidden="1">
      <c r="A118">
        <v>31860</v>
      </c>
      <c r="B118" t="s">
        <v>520</v>
      </c>
      <c r="C118" t="s">
        <v>641</v>
      </c>
      <c r="D118" s="84">
        <v>43777</v>
      </c>
      <c r="E118" t="s">
        <v>522</v>
      </c>
      <c r="F118" s="85">
        <v>144.36000000000001</v>
      </c>
      <c r="G118" t="s">
        <v>524</v>
      </c>
      <c r="H118" t="s">
        <v>525</v>
      </c>
      <c r="I118" s="84">
        <v>43777</v>
      </c>
      <c r="J118" t="s">
        <v>539</v>
      </c>
      <c r="K118">
        <v>245</v>
      </c>
      <c r="M118" t="s">
        <v>520</v>
      </c>
    </row>
    <row r="119" spans="1:13" hidden="1">
      <c r="A119">
        <v>35736</v>
      </c>
      <c r="B119" t="s">
        <v>520</v>
      </c>
      <c r="C119" t="s">
        <v>641</v>
      </c>
      <c r="D119" s="84">
        <v>43749</v>
      </c>
      <c r="E119" t="s">
        <v>522</v>
      </c>
      <c r="F119" s="85">
        <v>427.67500000000001</v>
      </c>
      <c r="G119" t="s">
        <v>524</v>
      </c>
      <c r="H119" t="s">
        <v>525</v>
      </c>
      <c r="I119" s="84">
        <v>43749</v>
      </c>
      <c r="J119" t="s">
        <v>526</v>
      </c>
      <c r="K119">
        <v>235</v>
      </c>
      <c r="M119" t="s">
        <v>520</v>
      </c>
    </row>
    <row r="120" spans="1:13" hidden="1">
      <c r="A120">
        <v>34251</v>
      </c>
      <c r="B120" t="s">
        <v>520</v>
      </c>
      <c r="C120" t="s">
        <v>641</v>
      </c>
      <c r="D120" s="84">
        <v>43714</v>
      </c>
      <c r="E120" t="s">
        <v>522</v>
      </c>
      <c r="F120" s="85">
        <v>920.18600000000004</v>
      </c>
      <c r="G120" t="s">
        <v>524</v>
      </c>
      <c r="H120" t="s">
        <v>525</v>
      </c>
      <c r="I120" s="84">
        <v>43714</v>
      </c>
      <c r="J120" t="s">
        <v>526</v>
      </c>
      <c r="K120">
        <v>228</v>
      </c>
      <c r="L120">
        <v>56497</v>
      </c>
      <c r="M120" t="s">
        <v>520</v>
      </c>
    </row>
    <row r="121" spans="1:13" hidden="1">
      <c r="A121">
        <v>33996</v>
      </c>
      <c r="B121" t="s">
        <v>520</v>
      </c>
      <c r="C121" t="s">
        <v>641</v>
      </c>
      <c r="D121" s="84">
        <v>43700</v>
      </c>
      <c r="E121" t="s">
        <v>522</v>
      </c>
      <c r="F121" s="85">
        <v>483.94799999999998</v>
      </c>
      <c r="G121" t="s">
        <v>524</v>
      </c>
      <c r="H121" t="s">
        <v>525</v>
      </c>
      <c r="I121" s="84">
        <v>43700</v>
      </c>
      <c r="J121" t="s">
        <v>526</v>
      </c>
      <c r="K121" t="s">
        <v>527</v>
      </c>
      <c r="M121" t="s">
        <v>520</v>
      </c>
    </row>
    <row r="122" spans="1:13" hidden="1">
      <c r="A122">
        <v>30798</v>
      </c>
      <c r="B122" t="s">
        <v>520</v>
      </c>
      <c r="C122" t="s">
        <v>641</v>
      </c>
      <c r="D122" s="84">
        <v>43672</v>
      </c>
      <c r="E122" t="s">
        <v>522</v>
      </c>
      <c r="F122" s="85" t="s">
        <v>661</v>
      </c>
      <c r="G122" t="s">
        <v>524</v>
      </c>
      <c r="H122" t="s">
        <v>525</v>
      </c>
      <c r="I122" s="84">
        <v>43672</v>
      </c>
      <c r="J122" t="s">
        <v>539</v>
      </c>
      <c r="K122" t="s">
        <v>527</v>
      </c>
      <c r="M122" t="s">
        <v>520</v>
      </c>
    </row>
    <row r="123" spans="1:13" hidden="1">
      <c r="A123">
        <v>32511</v>
      </c>
      <c r="B123" t="s">
        <v>520</v>
      </c>
      <c r="C123" t="s">
        <v>641</v>
      </c>
      <c r="D123" s="84">
        <v>43658</v>
      </c>
      <c r="E123" t="s">
        <v>522</v>
      </c>
      <c r="F123" s="85" t="s">
        <v>662</v>
      </c>
      <c r="G123" t="s">
        <v>524</v>
      </c>
      <c r="H123" t="s">
        <v>525</v>
      </c>
      <c r="I123" s="84">
        <v>43658</v>
      </c>
      <c r="J123" t="s">
        <v>526</v>
      </c>
      <c r="K123" t="s">
        <v>527</v>
      </c>
      <c r="M123" t="s">
        <v>520</v>
      </c>
    </row>
    <row r="124" spans="1:13" hidden="1">
      <c r="A124">
        <v>32280</v>
      </c>
      <c r="B124" t="s">
        <v>520</v>
      </c>
      <c r="C124" t="s">
        <v>641</v>
      </c>
      <c r="D124" s="84">
        <v>43658</v>
      </c>
      <c r="E124" t="s">
        <v>522</v>
      </c>
      <c r="F124" s="85" t="s">
        <v>662</v>
      </c>
      <c r="G124" t="s">
        <v>524</v>
      </c>
      <c r="H124" t="s">
        <v>537</v>
      </c>
      <c r="I124" s="84">
        <v>43658</v>
      </c>
      <c r="J124" t="s">
        <v>526</v>
      </c>
      <c r="K124" t="s">
        <v>527</v>
      </c>
      <c r="M124" t="s">
        <v>520</v>
      </c>
    </row>
    <row r="125" spans="1:13" hidden="1">
      <c r="A125">
        <v>28757</v>
      </c>
      <c r="B125" t="s">
        <v>520</v>
      </c>
      <c r="C125" t="s">
        <v>641</v>
      </c>
      <c r="D125" s="84">
        <v>43553</v>
      </c>
      <c r="E125" t="s">
        <v>522</v>
      </c>
      <c r="F125" s="85" t="s">
        <v>663</v>
      </c>
      <c r="G125" t="s">
        <v>524</v>
      </c>
      <c r="H125" t="s">
        <v>525</v>
      </c>
      <c r="I125" s="84">
        <v>43553</v>
      </c>
      <c r="J125" t="s">
        <v>526</v>
      </c>
      <c r="K125" t="s">
        <v>527</v>
      </c>
      <c r="M125" t="s">
        <v>520</v>
      </c>
    </row>
    <row r="126" spans="1:13" hidden="1">
      <c r="A126">
        <v>27574</v>
      </c>
      <c r="B126" t="s">
        <v>520</v>
      </c>
      <c r="C126" t="s">
        <v>641</v>
      </c>
      <c r="D126" s="84">
        <v>43518</v>
      </c>
      <c r="E126" t="s">
        <v>522</v>
      </c>
      <c r="F126" s="85" t="s">
        <v>664</v>
      </c>
      <c r="G126" t="s">
        <v>524</v>
      </c>
      <c r="H126" t="s">
        <v>525</v>
      </c>
      <c r="I126" s="84">
        <v>43518</v>
      </c>
      <c r="J126" t="s">
        <v>526</v>
      </c>
      <c r="K126" t="s">
        <v>527</v>
      </c>
      <c r="M126" t="s">
        <v>520</v>
      </c>
    </row>
    <row r="127" spans="1:13" hidden="1">
      <c r="A127">
        <v>26694</v>
      </c>
      <c r="B127" t="s">
        <v>520</v>
      </c>
      <c r="C127" t="s">
        <v>641</v>
      </c>
      <c r="D127" s="84">
        <v>43490</v>
      </c>
      <c r="E127" t="s">
        <v>522</v>
      </c>
      <c r="F127" s="85" t="s">
        <v>665</v>
      </c>
      <c r="G127" t="s">
        <v>524</v>
      </c>
      <c r="H127" t="s">
        <v>525</v>
      </c>
      <c r="I127" s="84">
        <v>43490</v>
      </c>
      <c r="J127" t="s">
        <v>526</v>
      </c>
      <c r="K127">
        <v>191</v>
      </c>
      <c r="M127" t="s">
        <v>520</v>
      </c>
    </row>
    <row r="128" spans="1:13" hidden="1">
      <c r="A128">
        <v>26103</v>
      </c>
      <c r="B128" t="s">
        <v>520</v>
      </c>
      <c r="C128" t="s">
        <v>641</v>
      </c>
      <c r="D128" s="84">
        <v>43476</v>
      </c>
      <c r="E128" t="s">
        <v>522</v>
      </c>
      <c r="F128" s="85" t="s">
        <v>666</v>
      </c>
      <c r="G128" t="s">
        <v>524</v>
      </c>
      <c r="H128" t="s">
        <v>525</v>
      </c>
      <c r="I128" s="84">
        <v>43476</v>
      </c>
      <c r="J128" t="s">
        <v>526</v>
      </c>
      <c r="K128" t="s">
        <v>527</v>
      </c>
      <c r="M128" t="s">
        <v>520</v>
      </c>
    </row>
    <row r="129" spans="1:13" hidden="1">
      <c r="A129">
        <v>24770</v>
      </c>
      <c r="B129" t="s">
        <v>520</v>
      </c>
      <c r="C129" t="s">
        <v>641</v>
      </c>
      <c r="D129" s="84">
        <v>43441</v>
      </c>
      <c r="E129" t="s">
        <v>522</v>
      </c>
      <c r="F129" s="85">
        <v>383.411</v>
      </c>
      <c r="G129" t="s">
        <v>524</v>
      </c>
      <c r="H129" t="s">
        <v>525</v>
      </c>
      <c r="I129" s="84">
        <v>43441</v>
      </c>
      <c r="J129" t="s">
        <v>526</v>
      </c>
      <c r="K129">
        <v>180</v>
      </c>
      <c r="L129">
        <v>47286</v>
      </c>
      <c r="M129" t="s">
        <v>520</v>
      </c>
    </row>
    <row r="130" spans="1:13" hidden="1">
      <c r="A130">
        <v>24649</v>
      </c>
      <c r="B130" t="s">
        <v>520</v>
      </c>
      <c r="C130" t="s">
        <v>641</v>
      </c>
      <c r="D130" s="84">
        <v>43440</v>
      </c>
      <c r="E130" t="s">
        <v>522</v>
      </c>
      <c r="F130" s="85">
        <v>438.92899999999997</v>
      </c>
      <c r="G130" t="s">
        <v>524</v>
      </c>
      <c r="H130" t="s">
        <v>525</v>
      </c>
      <c r="I130" s="84">
        <v>43440</v>
      </c>
      <c r="J130" t="s">
        <v>526</v>
      </c>
      <c r="K130">
        <v>183</v>
      </c>
      <c r="M130" t="s">
        <v>520</v>
      </c>
    </row>
    <row r="131" spans="1:13" hidden="1">
      <c r="A131">
        <v>2669</v>
      </c>
      <c r="B131" t="s">
        <v>520</v>
      </c>
      <c r="C131" t="s">
        <v>667</v>
      </c>
      <c r="D131" s="84">
        <v>43425</v>
      </c>
      <c r="E131" t="s">
        <v>522</v>
      </c>
      <c r="F131" s="85" t="s">
        <v>668</v>
      </c>
      <c r="G131" t="s">
        <v>524</v>
      </c>
      <c r="H131" t="s">
        <v>525</v>
      </c>
      <c r="I131" s="84">
        <v>43425</v>
      </c>
      <c r="J131" t="s">
        <v>669</v>
      </c>
      <c r="K131">
        <v>179</v>
      </c>
      <c r="M131" t="s">
        <v>520</v>
      </c>
    </row>
    <row r="132" spans="1:13" hidden="1">
      <c r="A132">
        <v>24003</v>
      </c>
      <c r="B132" t="s">
        <v>520</v>
      </c>
      <c r="C132" t="s">
        <v>641</v>
      </c>
      <c r="D132" s="84">
        <v>43420</v>
      </c>
      <c r="E132" t="s">
        <v>522</v>
      </c>
      <c r="F132" s="85">
        <v>76.682000000000002</v>
      </c>
      <c r="G132" t="s">
        <v>524</v>
      </c>
      <c r="H132" t="s">
        <v>525</v>
      </c>
      <c r="I132" s="84">
        <v>43420</v>
      </c>
      <c r="J132" t="s">
        <v>526</v>
      </c>
      <c r="K132">
        <v>177</v>
      </c>
      <c r="L132">
        <v>44716</v>
      </c>
      <c r="M132" t="s">
        <v>520</v>
      </c>
    </row>
    <row r="133" spans="1:13" hidden="1">
      <c r="A133">
        <v>21404</v>
      </c>
      <c r="B133" t="s">
        <v>520</v>
      </c>
      <c r="C133" t="s">
        <v>641</v>
      </c>
      <c r="D133" s="84">
        <v>43357</v>
      </c>
      <c r="E133" t="s">
        <v>522</v>
      </c>
      <c r="F133" s="85" t="s">
        <v>670</v>
      </c>
      <c r="G133" t="s">
        <v>524</v>
      </c>
      <c r="H133" t="s">
        <v>525</v>
      </c>
      <c r="I133" s="84">
        <v>43357</v>
      </c>
      <c r="J133" t="s">
        <v>526</v>
      </c>
      <c r="K133" t="s">
        <v>527</v>
      </c>
      <c r="M133" t="s">
        <v>520</v>
      </c>
    </row>
    <row r="134" spans="1:13" hidden="1">
      <c r="A134">
        <v>25114</v>
      </c>
      <c r="B134" t="s">
        <v>520</v>
      </c>
      <c r="C134" t="s">
        <v>641</v>
      </c>
      <c r="D134" s="84">
        <v>43259</v>
      </c>
      <c r="E134" t="s">
        <v>522</v>
      </c>
      <c r="F134" s="85" t="s">
        <v>671</v>
      </c>
      <c r="G134" t="s">
        <v>524</v>
      </c>
      <c r="H134" t="s">
        <v>525</v>
      </c>
      <c r="I134" s="84">
        <v>43259</v>
      </c>
      <c r="J134" t="s">
        <v>539</v>
      </c>
      <c r="K134" t="s">
        <v>527</v>
      </c>
      <c r="M134" t="s">
        <v>520</v>
      </c>
    </row>
    <row r="135" spans="1:13" hidden="1">
      <c r="A135">
        <v>23895</v>
      </c>
      <c r="B135" t="s">
        <v>520</v>
      </c>
      <c r="C135" t="s">
        <v>641</v>
      </c>
      <c r="D135" s="84">
        <v>43238</v>
      </c>
      <c r="E135" t="s">
        <v>522</v>
      </c>
      <c r="F135" s="85">
        <v>472.69299999999998</v>
      </c>
      <c r="G135" t="s">
        <v>524</v>
      </c>
      <c r="H135" t="s">
        <v>525</v>
      </c>
      <c r="I135" s="84">
        <v>43238</v>
      </c>
      <c r="J135" t="s">
        <v>539</v>
      </c>
      <c r="K135">
        <v>140</v>
      </c>
      <c r="M135" t="s">
        <v>520</v>
      </c>
    </row>
    <row r="136" spans="1:13" hidden="1">
      <c r="A136">
        <v>18974</v>
      </c>
      <c r="B136" t="s">
        <v>520</v>
      </c>
      <c r="C136" t="s">
        <v>641</v>
      </c>
      <c r="D136" s="84">
        <v>43217</v>
      </c>
      <c r="E136" t="s">
        <v>522</v>
      </c>
      <c r="F136" s="85" t="s">
        <v>644</v>
      </c>
      <c r="G136" t="s">
        <v>524</v>
      </c>
      <c r="H136" t="s">
        <v>525</v>
      </c>
      <c r="I136" s="84">
        <v>43217</v>
      </c>
      <c r="J136" t="s">
        <v>526</v>
      </c>
      <c r="K136" t="s">
        <v>527</v>
      </c>
      <c r="M136" t="s">
        <v>520</v>
      </c>
    </row>
    <row r="137" spans="1:13" hidden="1">
      <c r="A137">
        <v>20332</v>
      </c>
      <c r="B137" t="s">
        <v>520</v>
      </c>
      <c r="C137" t="s">
        <v>641</v>
      </c>
      <c r="D137" s="84">
        <v>43168</v>
      </c>
      <c r="E137" t="s">
        <v>522</v>
      </c>
      <c r="F137" s="85" t="s">
        <v>608</v>
      </c>
      <c r="G137" t="s">
        <v>524</v>
      </c>
      <c r="H137" t="s">
        <v>525</v>
      </c>
      <c r="I137" s="84">
        <v>43168</v>
      </c>
      <c r="J137" t="s">
        <v>539</v>
      </c>
      <c r="K137">
        <v>128</v>
      </c>
      <c r="M137" t="s">
        <v>520</v>
      </c>
    </row>
    <row r="138" spans="1:13" hidden="1">
      <c r="A138">
        <v>18368</v>
      </c>
      <c r="B138" t="s">
        <v>520</v>
      </c>
      <c r="C138" t="s">
        <v>641</v>
      </c>
      <c r="D138" s="84">
        <v>43154</v>
      </c>
      <c r="E138" t="s">
        <v>522</v>
      </c>
      <c r="F138" s="85">
        <v>765.31299999999999</v>
      </c>
      <c r="G138" t="s">
        <v>524</v>
      </c>
      <c r="H138" t="s">
        <v>525</v>
      </c>
      <c r="I138" s="84">
        <v>43154</v>
      </c>
      <c r="J138" t="s">
        <v>526</v>
      </c>
      <c r="K138">
        <v>123</v>
      </c>
      <c r="M138" t="s">
        <v>520</v>
      </c>
    </row>
    <row r="139" spans="1:13" hidden="1">
      <c r="A139">
        <v>17451</v>
      </c>
      <c r="B139" t="s">
        <v>520</v>
      </c>
      <c r="C139" t="s">
        <v>641</v>
      </c>
      <c r="D139" s="84">
        <v>43112</v>
      </c>
      <c r="E139" t="s">
        <v>522</v>
      </c>
      <c r="F139" s="85">
        <v>315.12900000000002</v>
      </c>
      <c r="G139" t="s">
        <v>524</v>
      </c>
      <c r="H139" t="s">
        <v>525</v>
      </c>
      <c r="I139" s="84">
        <v>43112</v>
      </c>
      <c r="J139" t="s">
        <v>539</v>
      </c>
      <c r="K139">
        <v>118</v>
      </c>
      <c r="M139" t="s">
        <v>520</v>
      </c>
    </row>
    <row r="140" spans="1:13" hidden="1">
      <c r="A140">
        <v>13192</v>
      </c>
      <c r="B140" t="s">
        <v>520</v>
      </c>
      <c r="C140" t="s">
        <v>641</v>
      </c>
      <c r="D140" s="84">
        <v>43042</v>
      </c>
      <c r="E140" t="s">
        <v>522</v>
      </c>
      <c r="F140" s="85">
        <v>122.95</v>
      </c>
      <c r="G140" t="s">
        <v>524</v>
      </c>
      <c r="H140" t="s">
        <v>525</v>
      </c>
      <c r="I140" s="84">
        <v>43042</v>
      </c>
      <c r="J140" t="s">
        <v>539</v>
      </c>
      <c r="K140">
        <v>109</v>
      </c>
      <c r="M140" t="s">
        <v>520</v>
      </c>
    </row>
    <row r="141" spans="1:13" hidden="1">
      <c r="A141">
        <v>15739</v>
      </c>
      <c r="B141" t="s">
        <v>520</v>
      </c>
      <c r="C141" t="s">
        <v>641</v>
      </c>
      <c r="D141" s="84">
        <v>42937</v>
      </c>
      <c r="E141" t="s">
        <v>522</v>
      </c>
      <c r="F141" s="85">
        <v>132.40700000000001</v>
      </c>
      <c r="G141" t="s">
        <v>524</v>
      </c>
      <c r="H141" t="s">
        <v>525</v>
      </c>
      <c r="I141" s="84">
        <v>42937</v>
      </c>
      <c r="J141" t="s">
        <v>526</v>
      </c>
      <c r="K141">
        <v>91</v>
      </c>
      <c r="M141" t="s">
        <v>520</v>
      </c>
    </row>
  </sheetData>
  <autoFilter ref="A1:M141" xr:uid="{ECF0321D-EF0D-480B-BDD9-716FAD8A638A}">
    <filterColumn colId="3">
      <filters>
        <dateGroupItem year="2023" month="3" dateTimeGrouping="month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33D6-FB6E-4690-8672-984019E6B59A}">
  <dimension ref="C2:D9"/>
  <sheetViews>
    <sheetView workbookViewId="0">
      <selection activeCell="D12" sqref="D12"/>
    </sheetView>
  </sheetViews>
  <sheetFormatPr defaultColWidth="10.7109375" defaultRowHeight="14.45"/>
  <cols>
    <col min="3" max="3" width="14.7109375" customWidth="1"/>
    <col min="4" max="4" width="49.85546875" customWidth="1"/>
  </cols>
  <sheetData>
    <row r="2" spans="3:4">
      <c r="C2" s="132" t="s">
        <v>2</v>
      </c>
      <c r="D2" s="132" t="s">
        <v>672</v>
      </c>
    </row>
    <row r="3" spans="3:4">
      <c r="C3" s="7" t="s">
        <v>21</v>
      </c>
      <c r="D3" s="7" t="s">
        <v>47</v>
      </c>
    </row>
    <row r="4" spans="3:4">
      <c r="C4" s="7" t="s">
        <v>78</v>
      </c>
      <c r="D4" s="7" t="s">
        <v>79</v>
      </c>
    </row>
    <row r="5" spans="3:4">
      <c r="C5" s="7" t="s">
        <v>94</v>
      </c>
      <c r="D5" s="7" t="s">
        <v>95</v>
      </c>
    </row>
    <row r="6" spans="3:4">
      <c r="C6" s="7" t="s">
        <v>132</v>
      </c>
      <c r="D6" s="7" t="s">
        <v>133</v>
      </c>
    </row>
    <row r="7" spans="3:4">
      <c r="C7" s="7" t="s">
        <v>145</v>
      </c>
      <c r="D7" s="7" t="s">
        <v>146</v>
      </c>
    </row>
    <row r="8" spans="3:4">
      <c r="C8" s="7" t="s">
        <v>168</v>
      </c>
      <c r="D8" s="7" t="s">
        <v>169</v>
      </c>
    </row>
    <row r="9" spans="3:4">
      <c r="C9" s="7" t="s">
        <v>173</v>
      </c>
      <c r="D9" s="7" t="s">
        <v>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</dc:creator>
  <cp:keywords/>
  <dc:description/>
  <cp:lastModifiedBy/>
  <cp:revision/>
  <dcterms:created xsi:type="dcterms:W3CDTF">2023-09-13T02:08:32Z</dcterms:created>
  <dcterms:modified xsi:type="dcterms:W3CDTF">2025-10-04T15:22:46Z</dcterms:modified>
  <cp:category/>
  <cp:contentStatus/>
</cp:coreProperties>
</file>